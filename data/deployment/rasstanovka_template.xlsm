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filterPrivacy="1" updateLinks="always" codeName="ЭтаКнига"/>
  <xr:revisionPtr revIDLastSave="0" documentId="13_ncr:1_{229D3728-9161-4242-BA3C-F5999D09ACD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Отчет расстановка" sheetId="1" r:id="rId1"/>
    <sheet name="Персонал Свод" sheetId="7" r:id="rId2"/>
    <sheet name="Список ФИО" sheetId="8" r:id="rId3"/>
    <sheet name="Рабочая исходник" sheetId="2" state="hidden" r:id="rId4"/>
    <sheet name="Водители" sheetId="3" state="hidden" r:id="rId5"/>
    <sheet name="Лист1" sheetId="9" state="hidden" r:id="rId6"/>
  </sheets>
  <externalReferences>
    <externalReference r:id="rId7"/>
  </externalReferences>
  <definedNames>
    <definedName name="_xlcn.WorksheetConnection_03.05.2025ОтчётрасстановкаОООТЕХРЕСУРС.xlsxПерсонал" hidden="1">Персонал[]</definedName>
    <definedName name="_xlcn.WorksheetConnection_03.05.2025ОтчётрасстановкаОООТЕХРЕСУРС.xlsxТаблица2" hidden="1">Таблица2[]</definedName>
    <definedName name="_xlcn.WorksheetConnection_03.05.2025ОтчётрасстановкаОООТЕХРЕСУРС.xlsxТаблица2_2" hidden="1">Таблица2_2[]</definedName>
    <definedName name="_xlnm._FilterDatabase" localSheetId="0" hidden="1">'Отчет расстановка'!$A$2:$I$2</definedName>
    <definedName name="ExternalData_1" localSheetId="1" hidden="1">'Персонал Свод'!$A$1:$B$16</definedName>
    <definedName name="ExternalData_1" localSheetId="2" hidden="1">'Список ФИО'!$A$1:$B$38</definedName>
    <definedName name="_xlnm.Print_Area" localSheetId="0">'Отчет расстановка'!$A$1:$I$62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2_2" name="Таблица2_2" connection="WorksheetConnection_03.05.2025 Отчёт-расстановка ООО ТЕХРЕСУРС.xlsx!Таблица2_2"/>
          <x15:modelTable id="Таблица2" name="Таблица2" connection="WorksheetConnection_03.05.2025 Отчёт-расстановка ООО ТЕХРЕСУРС.xlsx!Таблица2"/>
          <x15:modelTable id="Персонал" name="Персонал" connection="WorksheetConnection_03.05.2025 Отчёт-расстановка ООО ТЕХРЕСУРС.xlsx!Персонал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9" i="8" l="1"/>
  <c r="B39" i="8"/>
  <c r="B17" i="7"/>
  <c r="H22" i="2" l="1"/>
  <c r="H93" i="2" l="1"/>
  <c r="H65" i="2" l="1"/>
  <c r="H20" i="2" l="1"/>
  <c r="H26" i="2" l="1"/>
  <c r="H54" i="2" l="1"/>
  <c r="H74" i="2" l="1"/>
  <c r="H19" i="2" l="1"/>
  <c r="H88" i="2" l="1"/>
  <c r="H18" i="2" l="1"/>
  <c r="H5" i="2" l="1"/>
  <c r="H6" i="2"/>
  <c r="H7" i="2"/>
  <c r="H25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5" i="2"/>
  <c r="H56" i="2"/>
  <c r="H57" i="2"/>
  <c r="H58" i="2"/>
  <c r="H59" i="2"/>
  <c r="H60" i="2"/>
  <c r="H61" i="2"/>
  <c r="H62" i="2"/>
  <c r="H63" i="2"/>
  <c r="H64" i="2"/>
  <c r="H66" i="2"/>
  <c r="H67" i="2"/>
  <c r="H68" i="2"/>
  <c r="H69" i="2"/>
  <c r="H70" i="2"/>
  <c r="H71" i="2"/>
  <c r="H72" i="2"/>
  <c r="H73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9" i="2"/>
  <c r="H90" i="2"/>
  <c r="H91" i="2"/>
  <c r="H92" i="2"/>
  <c r="H94" i="2"/>
  <c r="H95" i="2"/>
  <c r="H96" i="2"/>
  <c r="H97" i="2"/>
  <c r="H98" i="2"/>
  <c r="H99" i="2"/>
  <c r="H100" i="2"/>
  <c r="H101" i="2"/>
  <c r="H102" i="2"/>
  <c r="H9" i="2"/>
  <c r="H10" i="2"/>
  <c r="H11" i="2"/>
  <c r="H12" i="2"/>
  <c r="H13" i="2"/>
  <c r="H14" i="2"/>
  <c r="H15" i="2"/>
  <c r="H16" i="2"/>
  <c r="H17" i="2"/>
  <c r="H21" i="2"/>
  <c r="H23" i="2"/>
  <c r="H24" i="2"/>
  <c r="H8" i="2"/>
  <c r="H115" i="2" l="1"/>
  <c r="H114" i="2"/>
  <c r="H113" i="2"/>
  <c r="H112" i="2"/>
  <c r="H111" i="2"/>
  <c r="H110" i="2"/>
  <c r="H109" i="2"/>
  <c r="H108" i="2"/>
  <c r="H107" i="2"/>
  <c r="H106" i="2"/>
  <c r="H105" i="2"/>
  <c r="H104" i="2"/>
  <c r="H10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2AF59C-0C5D-4B57-AEC9-2243EAE7087D}" keepAlive="1" name="ThisWorkbookDataModel" description="Модель данных" type="5" refreshedVersion="7" minRefreshableVersion="5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E84B9CF-D28B-43DA-B9FB-4583CB30D1E5}" interval="60" name="WorksheetConnection_03.05.2025 Отчёт-расстановка ООО ТЕХРЕСУРС.xlsx!Персонал" type="102" refreshedVersion="7" minRefreshableVersion="5" refreshOnLoad="1" saveData="1">
    <extLst>
      <ext xmlns:x15="http://schemas.microsoft.com/office/spreadsheetml/2010/11/main" uri="{DE250136-89BD-433C-8126-D09CA5730AF9}">
        <x15:connection id="Персонал">
          <x15:rangePr sourceName="_xlcn.WorksheetConnection_03.05.2025ОтчётрасстановкаОООТЕХРЕСУРС.xlsxПерсонал"/>
        </x15:connection>
      </ext>
    </extLst>
  </connection>
  <connection id="3" xr16:uid="{3A86A6BD-F54C-45AA-81CC-E470D435E30D}" name="WorksheetConnection_03.05.2025 Отчёт-расстановка ООО ТЕХРЕСУРС.xlsx!Таблица2" type="102" refreshedVersion="7" minRefreshableVersion="5">
    <extLst>
      <ext xmlns:x15="http://schemas.microsoft.com/office/spreadsheetml/2010/11/main" uri="{DE250136-89BD-433C-8126-D09CA5730AF9}">
        <x15:connection id="Таблица2">
          <x15:rangePr sourceName="_xlcn.WorksheetConnection_03.05.2025ОтчётрасстановкаОООТЕХРЕСУРС.xlsxТаблица2"/>
        </x15:connection>
      </ext>
    </extLst>
  </connection>
  <connection id="4" xr16:uid="{0FA6F72A-432D-4ABA-B3FD-304FCFE131A9}" name="WorksheetConnection_03.05.2025 Отчёт-расстановка ООО ТЕХРЕСУРС.xlsx!Таблица2_2" type="102" refreshedVersion="7" minRefreshableVersion="5">
    <extLst>
      <ext xmlns:x15="http://schemas.microsoft.com/office/spreadsheetml/2010/11/main" uri="{DE250136-89BD-433C-8126-D09CA5730AF9}">
        <x15:connection id="Таблица2_2">
          <x15:rangePr sourceName="_xlcn.WorksheetConnection_03.05.2025ОтчётрасстановкаОООТЕХРЕСУРС.xlsxТаблица2_2"/>
        </x15:connection>
      </ext>
    </extLst>
  </connection>
  <connection id="5" xr16:uid="{C53B685E-BE2D-490F-9175-691FE63330C6}" keepAlive="1" name="Запрос — Персонал" description="Соединение с запросом &quot;Персонал&quot; в книге." type="5" refreshedVersion="7" background="1" refreshOnLoad="1" saveData="1">
    <dbPr connection="Provider=Microsoft.Mashup.OleDb.1;Data Source=$Workbook$;Location=Персонал;Extended Properties=&quot;&quot;" command="SELECT * FROM [Персонал]"/>
  </connection>
  <connection id="6" xr16:uid="{6F4AB4AE-ABED-4D6A-9C2D-C97CCDB3750A}" keepAlive="1" name="Запрос — Табель учета факт" description="Соединение с запросом &quot;Табель учета факт&quot; в книге." type="5" refreshedVersion="7" background="1" saveData="1">
    <dbPr connection="Provider=Microsoft.Mashup.OleDb.1;Data Source=$Workbook$;Location=&quot;Табель учета факт&quot;;Extended Properties=&quot;&quot;" command="SELECT * FROM [Табель учета факт]"/>
  </connection>
  <connection id="7" xr16:uid="{F6B55D29-F734-4D4D-96D7-EB1D4F1818B4}" keepAlive="1" name="Запрос — Таблица2" description="Соединение с запросом &quot;Таблица2&quot; в книге." type="5" refreshedVersion="7" background="1" saveData="1">
    <dbPr connection="Provider=Microsoft.Mashup.OleDb.1;Data Source=$Workbook$;Location=Таблица2;Extended Properties=&quot;&quot;" command="SELECT * FROM [Таблица2]"/>
  </connection>
</connections>
</file>

<file path=xl/sharedStrings.xml><?xml version="1.0" encoding="utf-8"?>
<sst xmlns="http://schemas.openxmlformats.org/spreadsheetml/2006/main" count="731" uniqueCount="192">
  <si>
    <t>№ п/п</t>
  </si>
  <si>
    <t>Наименование объектов</t>
  </si>
  <si>
    <t>Телефон</t>
  </si>
  <si>
    <t>Все объекты контроля</t>
  </si>
  <si>
    <t>Специалист в области ОТ и ПБ</t>
  </si>
  <si>
    <t>Испытательная строительная лаборатория</t>
  </si>
  <si>
    <t>Руководитель группы СК</t>
  </si>
  <si>
    <t>Режим контроля</t>
  </si>
  <si>
    <t>Аниськов Владимир Иванович</t>
  </si>
  <si>
    <t xml:space="preserve">Манджиев Игорь Александрович </t>
  </si>
  <si>
    <t>Расаев Артур Тимерьянович</t>
  </si>
  <si>
    <t>Сивокозов Юрий Валентинович</t>
  </si>
  <si>
    <t>Нафиков Айдар Фанилович</t>
  </si>
  <si>
    <t>Чебарев Игорь Витальевич</t>
  </si>
  <si>
    <t>Гугнин Александр Александрович</t>
  </si>
  <si>
    <t>Трофимов Сергей Николаевич</t>
  </si>
  <si>
    <t>Востряков Николай Владимирович</t>
  </si>
  <si>
    <t>Очкасов Юрий Николаевич</t>
  </si>
  <si>
    <t>Дунаев Александр Михайлович</t>
  </si>
  <si>
    <t>Конихин Александр Станиславович</t>
  </si>
  <si>
    <t>Каньшин Егор Викторович</t>
  </si>
  <si>
    <t>Петров Алексей Владимирович</t>
  </si>
  <si>
    <t xml:space="preserve">Инженер СК (общестроительные работы, сварочные технологии) </t>
  </si>
  <si>
    <t>Инженер СК (общестроительные работы)</t>
  </si>
  <si>
    <t xml:space="preserve">Инженер СК (электромонтажные работы, КИПиА) </t>
  </si>
  <si>
    <t xml:space="preserve">Инженер ВК (Входной контроль) </t>
  </si>
  <si>
    <t>Инженер СК (Геологоизыскательские работы)</t>
  </si>
  <si>
    <t xml:space="preserve">Инженер СК (Геодезические работы) </t>
  </si>
  <si>
    <t>Инженер ПИЛ  (НК, УЗК)</t>
  </si>
  <si>
    <t>Специалист в области БДД</t>
  </si>
  <si>
    <t>Системотехник / Инженер ПТО</t>
  </si>
  <si>
    <t>Инженер ПТО (ЗОС)</t>
  </si>
  <si>
    <t xml:space="preserve">Инженер ПТО </t>
  </si>
  <si>
    <t>ФИО закрепленного специалиста СК</t>
  </si>
  <si>
    <t>Наименование подрядной организации</t>
  </si>
  <si>
    <t>Должность СК</t>
  </si>
  <si>
    <t>Аюпов Альберт Рималович</t>
  </si>
  <si>
    <t xml:space="preserve">Инженер СК (общестроительные работы) </t>
  </si>
  <si>
    <t>Бородин Сергей Иванович</t>
  </si>
  <si>
    <t>ФИО</t>
  </si>
  <si>
    <t>Должность</t>
  </si>
  <si>
    <t xml:space="preserve">Должность </t>
  </si>
  <si>
    <t>Инженер СЛ НК</t>
  </si>
  <si>
    <t xml:space="preserve">Инженер БДД </t>
  </si>
  <si>
    <t xml:space="preserve">Инженер ОЗОТОБОС </t>
  </si>
  <si>
    <t xml:space="preserve">Системотехник / Инженер ПТО </t>
  </si>
  <si>
    <t>Инженер по МСК</t>
  </si>
  <si>
    <t>№</t>
  </si>
  <si>
    <t>ФИО (водителя либо инспектора)</t>
  </si>
  <si>
    <t>Телефон (водителя)</t>
  </si>
  <si>
    <t>Марка, модель ТС</t>
  </si>
  <si>
    <t>Стерхов Дмитрий Александрович</t>
  </si>
  <si>
    <t>Рено Дастер</t>
  </si>
  <si>
    <t>Чирятьев Алексей Анатольевич</t>
  </si>
  <si>
    <t>ФИО Водителя</t>
  </si>
  <si>
    <t>тел. Водителя</t>
  </si>
  <si>
    <t>Закрепленное за специалистом строительного контроля, ФИО водителя, телефон</t>
  </si>
  <si>
    <t>Ведущий инженер СК</t>
  </si>
  <si>
    <t>Елисеев Владимир Сергеевич</t>
  </si>
  <si>
    <t>Громов Виктор Борисович</t>
  </si>
  <si>
    <t>Слышкин Дмитрий Владимирович</t>
  </si>
  <si>
    <t>Еремин Игорь Анатольевич</t>
  </si>
  <si>
    <t>Кремлёв Андрей Сергеевич</t>
  </si>
  <si>
    <t>Глазунова Елена Александровна</t>
  </si>
  <si>
    <t>Мингалева Ольга Николаевна</t>
  </si>
  <si>
    <t>Кетских Игорь Валерьевич</t>
  </si>
  <si>
    <t>Носков Дмитрий Сергеевич</t>
  </si>
  <si>
    <t>Гут Николай Александрович</t>
  </si>
  <si>
    <t>Созонова Наталья Михайловна</t>
  </si>
  <si>
    <t>Поспелкова Анна Роландовна</t>
  </si>
  <si>
    <t>Бадаев Валентин Борисович</t>
  </si>
  <si>
    <t>Инженер ПТО Тюмень</t>
  </si>
  <si>
    <t>Ломоносов Евгений Олегович</t>
  </si>
  <si>
    <t>Александров Юрий Георгиевич</t>
  </si>
  <si>
    <t>Гультяев Евгений Викторович</t>
  </si>
  <si>
    <t>Щукин Владимир Юрьевич</t>
  </si>
  <si>
    <t>Хлебников Андрей Николаевич</t>
  </si>
  <si>
    <t>Елагин Алексей Александрович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</si>
  <si>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</si>
  <si>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</si>
  <si>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</si>
  <si>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</si>
  <si>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</si>
  <si>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</si>
  <si>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</si>
  <si>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</si>
  <si>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</si>
  <si>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Количество</t>
  </si>
  <si>
    <t>Названия строк</t>
  </si>
  <si>
    <t>Инженер БДД</t>
  </si>
  <si>
    <t>Инженер ОЗОТОБОС</t>
  </si>
  <si>
    <t>Инженер СК (Геодезические работы)</t>
  </si>
  <si>
    <t>Инженер СК (общестроительные работы, сварочные технологии)</t>
  </si>
  <si>
    <t>Инженер СК (электромонтажные работы, КИПиА)</t>
  </si>
  <si>
    <t>Общий итог</t>
  </si>
  <si>
    <t>Бирюков Алексей Анатольевич</t>
  </si>
  <si>
    <t>Инженер СПД Тюмень</t>
  </si>
  <si>
    <t>Инженер ПТО СГМ</t>
  </si>
  <si>
    <t>Инженер ПТО СПД СГМ</t>
  </si>
  <si>
    <t>Резунов Владимир Александрович</t>
  </si>
  <si>
    <t>Брызгалов Андрей Владимирович</t>
  </si>
  <si>
    <t>Новоселов Михаил Александрович</t>
  </si>
  <si>
    <t>Халиуллин Руслан Раисович</t>
  </si>
  <si>
    <t>Шипицын Дмитрий Викторович</t>
  </si>
  <si>
    <t>Княжин Антон Андреевич</t>
  </si>
  <si>
    <t xml:space="preserve">Аюпов Альберт Рималович </t>
  </si>
  <si>
    <t xml:space="preserve">Спиридонов Максим Олегович </t>
  </si>
  <si>
    <t>Федотов Евгений Эдуардович</t>
  </si>
  <si>
    <t xml:space="preserve">Бородин Сергей Иванович </t>
  </si>
  <si>
    <t>Джево Сергей Александрович</t>
  </si>
  <si>
    <t>Бухалко Андрей Александрович</t>
  </si>
  <si>
    <t>Канащук Игорь Владимирович</t>
  </si>
  <si>
    <t>Исаев Абрахам Вахаевич</t>
  </si>
  <si>
    <t>Контроль БДД</t>
  </si>
  <si>
    <t>Контроль ОЗОТОБОС</t>
  </si>
  <si>
    <t xml:space="preserve"> Проверка ИТД</t>
  </si>
  <si>
    <t>Администрирование</t>
  </si>
  <si>
    <t>Шнайдер Елена Александровна</t>
  </si>
  <si>
    <t>-</t>
  </si>
  <si>
    <t>Габитов Альберт Минсалихович</t>
  </si>
  <si>
    <t>Итого объектов</t>
  </si>
  <si>
    <t>Количество сотрудников</t>
  </si>
  <si>
    <t>Петров Данила Вадимович</t>
  </si>
  <si>
    <t>Глущенко Сергей Игоревич</t>
  </si>
  <si>
    <t>Каратанов Дмитрий Владимирович</t>
  </si>
  <si>
    <t>Кондаков Алексей Васильевич</t>
  </si>
  <si>
    <t>Куринный Николай Алексеевич</t>
  </si>
  <si>
    <t>Лебедев Михаил Игоревич</t>
  </si>
  <si>
    <t>Аминев Данил Зайнуллович</t>
  </si>
  <si>
    <t>Пряхин Илья Николаевич</t>
  </si>
  <si>
    <t>Инженер ОЗОТОБОС СПД</t>
  </si>
  <si>
    <t>Толстихин Александр  Викторович</t>
  </si>
  <si>
    <t>Добрыгин Андрей Аркадьевич</t>
  </si>
  <si>
    <t>Бородин Вадим Леонидович</t>
  </si>
  <si>
    <t>Комбаров Борис Викторович</t>
  </si>
  <si>
    <t>Петелин Виталий Ильгизович</t>
  </si>
  <si>
    <t>Вардомский Станислав Николаевич</t>
  </si>
  <si>
    <t>Степанников Андрей Викторович</t>
  </si>
  <si>
    <t>Симонов Александр Алексеевич</t>
  </si>
  <si>
    <t>Обустройство Верхнесалымского месторождения. Блочная кустовая насосная станция №4.</t>
  </si>
  <si>
    <t>Никишин Олег Владимирович</t>
  </si>
  <si>
    <t>Шешуков Сергей Анатольевич</t>
  </si>
  <si>
    <t>Шиляев Юрий Андреевич</t>
  </si>
  <si>
    <t>Руководитель СК</t>
  </si>
  <si>
    <t>Управление организация</t>
  </si>
  <si>
    <t>Инспекционный контроль, Проверка ИТД</t>
  </si>
  <si>
    <t>Подкрутив Владимир Владиславович</t>
  </si>
  <si>
    <t>Ишутин Станислав Николаевич</t>
  </si>
  <si>
    <t>Сапельников Павел Сергеевич</t>
  </si>
  <si>
    <t>Мальсагов Турпал-Эл Асланович</t>
  </si>
  <si>
    <t>Сидоров Роман Евгеньевич</t>
  </si>
  <si>
    <t>Западно-Салымское месторождение. Реконструкция нефтегазосборных трубопроводов 2025 -2026. Участок Куст скважин 12-Узел Ш11. Участок Узел Ш11- Узел УН18</t>
  </si>
  <si>
    <t>Шемелин Игорь Владимирович</t>
  </si>
  <si>
    <t>Каримов Ильдар Робертович</t>
  </si>
  <si>
    <t>Обустройство Верхнесалымского месторождения. Кусты скважин №109, №110. Высоконапорный водовод. Участок узел УН182в-узел УН183в</t>
  </si>
  <si>
    <t xml:space="preserve">Баталов Евгений Александрович </t>
  </si>
  <si>
    <t>Ходюк Александр Александрович</t>
  </si>
  <si>
    <t>Карьер песка «К-82» на Верхнесалымском месторождении. Автомобильная дорога.</t>
  </si>
  <si>
    <t>Карьер песка «К-82» на Верхнесалымском месторождении.</t>
  </si>
  <si>
    <t>Хайбулин Айрат Асхатович</t>
  </si>
  <si>
    <t>ОБУСТРОЙСТВО ВЕРХНЕСАЛЫМСКОГО МЕСТОРОЖДЕНИЯ. КОРИДОР КОММУНИКАЦИЙ НА КУСТ СКВАЖИН №55 ЭТАП СТРОИТЕЛЬСТВА №2 ВЛ 35 КВ «Т.ВР. ВЛ 35 КВ НА КУСТ СКВАЖИН № 16 – ПОДСТАНЦИЯ 35/0,4 КВ В РАЙОНЕ КУСТА СКВАЖИН №55»</t>
  </si>
  <si>
    <t>Обустройство Верхнесалымского месторождения. Куст скважин № 44. Высоконапорный водовод. УН168в-УН170в</t>
  </si>
  <si>
    <t>Обустройство Верхнесалымского месторождения. Лупинг 2 нефтегазосборного трубопровода участок Ш53-Ш10   Площадка узла запуска очистных устройств Ш93</t>
  </si>
  <si>
    <t>Обустройство Верхнесалымского месторождения.  Установка предварительного сброса воды. Реконструкция. 12 этап. Блок входных сепараторов №3</t>
  </si>
  <si>
    <t>Обустройство Верхнесалымского месторождения. Нефтегазосборный трубопровод.  Участок от Ш84 до УПСВ.</t>
  </si>
  <si>
    <t>Обустройство Верхнесалымского месторождения.  Поисково-оценочная скважина №309.</t>
  </si>
  <si>
    <t>Обустройство Верхнесалымского месторождения Куст скважин № 42. Высоконапорный водовод. УН114/1в–УН168в</t>
  </si>
  <si>
    <t>Обустройство Западно-Салымского месторождения. Кабельные линии РУ 6кВ УКПГ-ПС 35/6 УКПГ№1(2)</t>
  </si>
  <si>
    <t>Обустройство Верхнесалымского месторождения.  Куст скважин № 47.</t>
  </si>
  <si>
    <t>Обустройство Верхнесалымского месторождения. Куст скважин № 49.</t>
  </si>
  <si>
    <t>Обустройство Верхнесалымского месторождения. Блочная кустовая насосная станция №4</t>
  </si>
  <si>
    <t>Обустройство Верхнесалымского месторождения. Куст скважин №84</t>
  </si>
  <si>
    <t>Обустройство Верхнесалымского месторождения.  Куст скважин № 55.</t>
  </si>
  <si>
    <t>Обустройство Верхнесалымского месторождения. Нефтегазосборный трубопровод. Участок куст скважин К55 -Узел Ш137. Этап строительства №1</t>
  </si>
  <si>
    <t>Обустройство Верхнесалымского месторождения. Куст скважин №111. Реконструкция. Этап №7</t>
  </si>
  <si>
    <t>Обустройство Верхнесалымского месторождения. Нефтегазосборный трубопровод. Участок Куст скважин №111 – Узел УН 181</t>
  </si>
  <si>
    <t>Обустройство Верхнесалымского месторождения. Поисково-оценочная скважина № 75.</t>
  </si>
  <si>
    <t>Обустройство Верхнесалымского месторождения. Куст скважин № 112. Этап строительства №1-10</t>
  </si>
  <si>
    <t xml:space="preserve">Глущенко Сергей Игоревич </t>
  </si>
  <si>
    <t>Реконструкция нефтегазосборных трубопроводов 2025 Верхнесалымского месторождения. Этап строительства №5. Нефтегазосборный трубопровод от т.вр. К123 до Ш10</t>
  </si>
  <si>
    <t>Долов Сергей Анатольевич</t>
  </si>
  <si>
    <t>Обустройство Западно-Салымского месторождения Нефтегазосборный трубопровод от узла Ш69 до узла У167</t>
  </si>
  <si>
    <t>Спиридонов Олег Вячеславович</t>
  </si>
  <si>
    <t>Обустройство Верхнесалымского месторождения. Лупинг №2 нефтегазосборного трубопровода от узла Ш10 до УПСВ.</t>
  </si>
  <si>
    <t>Обустройство Верхнесалымского месторождения. Коридор коммуникаций на куст скважин №55.  Этап строительства №1 Подъезд к кусту скважин №55</t>
  </si>
  <si>
    <t>Обустройство Верхнесалымского месторождения. Куст скважин №47. Этап строительства №1-10</t>
  </si>
  <si>
    <t>Установка подготовки нефти, куст №23 Верхнесалымское месторождение. Реконструкция.</t>
  </si>
  <si>
    <t>«Обустройство Верхнесалымского месторождения. Площадка размещения энергоцентра в районе УПСВ»</t>
  </si>
  <si>
    <t>Черный Александр Лиммович</t>
  </si>
  <si>
    <t>Обустройство Верхнесалымского месторождения. Куст скважин №48. Этап строительства №4</t>
  </si>
  <si>
    <t>Обустройство Верхнесалымского месторождения. Куст скважин №47. Этап строительства №5</t>
  </si>
  <si>
    <t>Обустройство Верхнесалымского месторождения. Куст скважин №49. ЭТАП СТРОИТЕЛЬСТВА №3 ВНУТРИ ПЛОЩАДОЧНЫЕ ЭЛЕКТРИЧЕСКИЕ СЕТИ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</si>
</sst>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_-* #,##0.00\ _₽_-;\-* #,##0.00\ _₽_-;_-* &quot;-&quot;??\ _₽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8"/>
      <name val="Calibri"/>
      <family val="2"/>
      <scheme val="minor"/>
    </font>
    <font>
      <sz val="9"/>
      <name val="Times New Roman"/>
      <family val="1"/>
      <charset val="204"/>
    </font>
    <font>
      <sz val="12"/>
      <color theme="1"/>
      <name val="Calibri"/>
      <family val="2"/>
      <charset val="204"/>
    </font>
    <font>
      <sz val="12"/>
      <name val="Calibri"/>
      <family val="2"/>
      <charset val="204"/>
    </font>
    <font>
      <sz val="9"/>
      <color rgb="FF00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CDCDC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2">
    <xf numFmtId="0" fontId="0" fillId="0" borderId="0"/>
    <xf numFmtId="0" fontId="8" fillId="0" borderId="0"/>
    <xf numFmtId="0" fontId="7" fillId="0" borderId="0"/>
    <xf numFmtId="0" fontId="16" fillId="0" borderId="0"/>
    <xf numFmtId="0" fontId="6" fillId="0" borderId="0"/>
    <xf numFmtId="0" fontId="6" fillId="0" borderId="0"/>
    <xf numFmtId="0" fontId="17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8">
    <xf numFmtId="0" fontId="0" fillId="0" borderId="0" xfId="0"/>
    <xf numFmtId="0" fontId="10" fillId="0" borderId="0" xfId="0" applyFont="1"/>
    <xf numFmtId="0" fontId="10" fillId="0" borderId="1" xfId="0" applyFont="1" applyBorder="1" applyAlignment="1">
      <alignment horizontal="center" vertical="center" wrapText="1"/>
    </xf>
    <xf numFmtId="0" fontId="10" fillId="4" borderId="0" xfId="0" applyFont="1" applyFill="1"/>
    <xf numFmtId="0" fontId="10" fillId="4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14" fillId="0" borderId="2" xfId="1" applyFont="1" applyBorder="1" applyAlignment="1">
      <alignment horizontal="left" vertical="center" wrapText="1"/>
    </xf>
    <xf numFmtId="0" fontId="13" fillId="0" borderId="13" xfId="1" applyFont="1" applyBorder="1" applyAlignment="1">
      <alignment horizontal="left" vertical="center" wrapText="1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  <xf numFmtId="0" fontId="0" fillId="0" borderId="0" xfId="2" applyFont="1" applyAlignment="1">
      <alignment vertical="center"/>
    </xf>
    <xf numFmtId="0" fontId="0" fillId="0" borderId="12" xfId="2" applyFont="1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9" xfId="2" applyFont="1" applyBorder="1" applyAlignment="1">
      <alignment vertical="center"/>
    </xf>
    <xf numFmtId="0" fontId="0" fillId="0" borderId="16" xfId="2" applyFont="1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14" xfId="2" applyFont="1" applyBorder="1" applyAlignment="1">
      <alignment vertical="center"/>
    </xf>
    <xf numFmtId="0" fontId="0" fillId="0" borderId="8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4" xfId="0" applyBorder="1"/>
    <xf numFmtId="0" fontId="0" fillId="4" borderId="0" xfId="0" applyFill="1" applyAlignment="1">
      <alignment horizontal="center" wrapText="1"/>
    </xf>
    <xf numFmtId="0" fontId="0" fillId="0" borderId="8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/>
    <xf numFmtId="0" fontId="0" fillId="0" borderId="18" xfId="0" applyBorder="1" applyAlignment="1">
      <alignment vertical="center" wrapText="1"/>
    </xf>
    <xf numFmtId="0" fontId="0" fillId="0" borderId="10" xfId="0" applyBorder="1" applyAlignment="1">
      <alignment horizontal="center" wrapText="1"/>
    </xf>
    <xf numFmtId="0" fontId="0" fillId="4" borderId="11" xfId="0" applyFill="1" applyBorder="1" applyAlignment="1">
      <alignment horizontal="center"/>
    </xf>
    <xf numFmtId="0" fontId="0" fillId="0" borderId="19" xfId="0" applyBorder="1" applyAlignment="1">
      <alignment horizontal="center" wrapText="1"/>
    </xf>
    <xf numFmtId="0" fontId="0" fillId="0" borderId="1" xfId="0" applyBorder="1" applyAlignment="1">
      <alignment vertical="center" wrapText="1"/>
    </xf>
    <xf numFmtId="0" fontId="13" fillId="0" borderId="1" xfId="1" applyFont="1" applyBorder="1" applyAlignment="1">
      <alignment horizontal="left" vertical="center" wrapText="1"/>
    </xf>
    <xf numFmtId="0" fontId="13" fillId="4" borderId="1" xfId="1" applyFont="1" applyFill="1" applyBorder="1" applyAlignment="1">
      <alignment horizontal="left" vertical="center" wrapText="1"/>
    </xf>
    <xf numFmtId="0" fontId="0" fillId="0" borderId="4" xfId="0" applyBorder="1" applyAlignment="1">
      <alignment horizontal="center"/>
    </xf>
    <xf numFmtId="0" fontId="13" fillId="4" borderId="20" xfId="1" applyFont="1" applyFill="1" applyBorder="1" applyAlignment="1">
      <alignment horizontal="left" vertical="center" wrapText="1"/>
    </xf>
    <xf numFmtId="0" fontId="0" fillId="0" borderId="4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10" fillId="4" borderId="25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13" fillId="0" borderId="26" xfId="1" applyFont="1" applyBorder="1" applyAlignment="1">
      <alignment horizontal="left" vertical="center" wrapText="1"/>
    </xf>
    <xf numFmtId="0" fontId="0" fillId="4" borderId="2" xfId="0" applyFill="1" applyBorder="1" applyAlignment="1">
      <alignment horizontal="center"/>
    </xf>
    <xf numFmtId="0" fontId="10" fillId="4" borderId="27" xfId="0" applyFont="1" applyFill="1" applyBorder="1" applyAlignment="1">
      <alignment horizontal="center" vertical="center"/>
    </xf>
    <xf numFmtId="0" fontId="10" fillId="0" borderId="28" xfId="0" applyFont="1" applyBorder="1" applyAlignment="1">
      <alignment horizontal="left" vertical="center" wrapText="1"/>
    </xf>
    <xf numFmtId="0" fontId="10" fillId="4" borderId="28" xfId="0" applyFont="1" applyFill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left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</cellXfs>
  <cellStyles count="52">
    <cellStyle name="Денежный 2" xfId="9" xr:uid="{BBA8F446-B2BD-4B3F-AAB3-9B8ACA2C6EA4}"/>
    <cellStyle name="Денежный 3" xfId="17" xr:uid="{E332F71F-A313-45DD-8125-04FE3CC16B92}"/>
    <cellStyle name="Денежный 4" xfId="25" xr:uid="{4C3643FA-5588-4021-821E-6371D6932AF1}"/>
    <cellStyle name="Денежный 5" xfId="33" xr:uid="{A979DDCA-1C4E-4B8D-ADA6-0F364DC11924}"/>
    <cellStyle name="Денежный 6" xfId="41" xr:uid="{A4872022-0885-4B4D-9A2E-02AF486A1AC2}"/>
    <cellStyle name="Денежный 7" xfId="49" xr:uid="{96F4EEB4-1013-4212-8CEF-B405EACB95BC}"/>
    <cellStyle name="Обычный" xfId="0" builtinId="0"/>
    <cellStyle name="Обычный 2" xfId="6" xr:uid="{BA2572F2-90F9-4012-BB8F-7083D5FC638C}"/>
    <cellStyle name="Обычный 2 2" xfId="1" xr:uid="{4308283F-3A2A-49CE-88EE-3C0A59CCA54A}"/>
    <cellStyle name="Обычный 2 2 2" xfId="8" xr:uid="{A290EC63-B700-4C0E-9437-1352F2C5D77E}"/>
    <cellStyle name="Обычный 2 2 2 2" xfId="16" xr:uid="{C15F70A0-6BEE-480D-A057-CA43D1D67499}"/>
    <cellStyle name="Обычный 2 2 2 3" xfId="24" xr:uid="{15B98C15-EF06-4616-89E9-55E640345B31}"/>
    <cellStyle name="Обычный 2 2 2 4" xfId="32" xr:uid="{EAF0DF28-6661-415F-BB23-49B05BF95D33}"/>
    <cellStyle name="Обычный 2 2 2 5" xfId="40" xr:uid="{0C36FBA1-08E4-4B8D-8C98-13AEE91CEC55}"/>
    <cellStyle name="Обычный 2 2 2 6" xfId="48" xr:uid="{CA677EE7-98A2-4FF2-8ABF-E284608A9AB4}"/>
    <cellStyle name="Обычный 2 2 3" xfId="4" xr:uid="{03BD31FF-00C6-46B9-A983-8EE7E6BB44CE}"/>
    <cellStyle name="Обычный 2 2 4" xfId="13" xr:uid="{68A6F4F7-1174-4BE5-BD58-99332B517C5C}"/>
    <cellStyle name="Обычный 2 2 5" xfId="21" xr:uid="{EC24AAF4-F76C-4B38-A122-F33B6E0242E7}"/>
    <cellStyle name="Обычный 2 2 6" xfId="29" xr:uid="{5A23C9B1-EE8A-49A9-9AE3-E29567A8A9FB}"/>
    <cellStyle name="Обычный 2 2 7" xfId="37" xr:uid="{690B7CCF-3130-48BD-A97F-8D4142A85CE9}"/>
    <cellStyle name="Обычный 2 2 8" xfId="45" xr:uid="{3C747768-74BF-4718-96C5-A9C649CA9368}"/>
    <cellStyle name="Обычный 2 36 27" xfId="2" xr:uid="{9EBE0B30-236B-46D2-B107-89C639068327}"/>
    <cellStyle name="Обычный 2 36 27 2" xfId="7" xr:uid="{78CCF466-5579-4174-B799-B2EE3ED88FE6}"/>
    <cellStyle name="Обычный 2 36 27 3" xfId="15" xr:uid="{5B262B2D-8F62-491C-8936-94928BBB86D0}"/>
    <cellStyle name="Обычный 2 36 27 4" xfId="23" xr:uid="{F262A954-91D2-40CA-9792-D524C7613EF1}"/>
    <cellStyle name="Обычный 2 36 27 5" xfId="31" xr:uid="{6E2F5B7D-198C-434E-A81B-E4E782BCF472}"/>
    <cellStyle name="Обычный 2 36 27 6" xfId="39" xr:uid="{3BCD36D1-8F4E-4F15-B9E1-5FC1C79C5E9B}"/>
    <cellStyle name="Обычный 2 36 27 7" xfId="47" xr:uid="{A466EA90-1272-47E9-8AFC-C14E0AB76156}"/>
    <cellStyle name="Обычный 3" xfId="5" xr:uid="{A1E59E7A-F356-4732-91FA-8AB80C20D311}"/>
    <cellStyle name="Обычный 3 2" xfId="14" xr:uid="{2BFABB4A-6A94-4BE1-8AB9-0864ED744B99}"/>
    <cellStyle name="Обычный 3 3" xfId="22" xr:uid="{20128424-A78D-47EB-935B-6C842599215F}"/>
    <cellStyle name="Обычный 3 4" xfId="30" xr:uid="{7187170E-3AEF-4989-94B6-92321753B0D9}"/>
    <cellStyle name="Обычный 3 5" xfId="38" xr:uid="{865ECC04-0C45-4F30-8F82-37DBAC1FC53D}"/>
    <cellStyle name="Обычный 3 6" xfId="46" xr:uid="{9470D82C-6D4C-4504-9C6A-3192415CD6CC}"/>
    <cellStyle name="Обычный 4" xfId="3" xr:uid="{98705AD4-CC1B-4AB2-9694-7F10A38DF469}"/>
    <cellStyle name="Обычный 5" xfId="12" xr:uid="{642DEF5B-3575-4250-8EF1-4D86388D64CF}"/>
    <cellStyle name="Обычный 6" xfId="20" xr:uid="{18DECC99-2AD0-4581-B551-C6BFBED460C7}"/>
    <cellStyle name="Обычный 7" xfId="28" xr:uid="{FF160CD5-32F1-4ABC-B4F1-7054D2541F0E}"/>
    <cellStyle name="Обычный 8" xfId="36" xr:uid="{D6C6439B-06C3-4CF0-884B-6E78C409D82C}"/>
    <cellStyle name="Обычный 9" xfId="44" xr:uid="{EA239DCB-BBE1-4A9B-82B2-D4C3F9FB5336}"/>
    <cellStyle name="Процентный 2" xfId="10" xr:uid="{45E8322F-CC84-49A5-A2CB-856E9537AA4D}"/>
    <cellStyle name="Процентный 3" xfId="18" xr:uid="{1A7A0587-1F60-4075-BF38-CCC989C65782}"/>
    <cellStyle name="Процентный 4" xfId="26" xr:uid="{AD70D4C6-0B24-45E4-92F5-C0AF5F59E007}"/>
    <cellStyle name="Процентный 5" xfId="34" xr:uid="{4FFF446C-E089-42F1-A6FE-DD6C82662A76}"/>
    <cellStyle name="Процентный 6" xfId="42" xr:uid="{474BB4B6-7FB2-45B7-98D7-7F7F243B16B8}"/>
    <cellStyle name="Процентный 7" xfId="50" xr:uid="{A8EE15D9-E3C9-4C81-B259-3FD78421351A}"/>
    <cellStyle name="Финансовый 2" xfId="11" xr:uid="{A6B1EF39-652C-4888-A60F-137914C8B6B6}"/>
    <cellStyle name="Финансовый 3" xfId="19" xr:uid="{FF43B954-9E63-423D-9E08-EEE38AAA289F}"/>
    <cellStyle name="Финансовый 4" xfId="27" xr:uid="{030E10DD-5EAA-4324-972F-EAD4529515AD}"/>
    <cellStyle name="Финансовый 5" xfId="35" xr:uid="{FA032F96-D815-4A11-BF5B-6DE204014D3D}"/>
    <cellStyle name="Финансовый 6" xfId="43" xr:uid="{CBDD7D20-DF1F-4FA9-B3C7-9C97E32BD791}"/>
    <cellStyle name="Финансовый 7" xfId="51" xr:uid="{D8246DE9-ECBC-4639-B492-0373FB9C20EC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FFD34"/>
      <color rgb="FF0179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microsoft.com/office/2006/relationships/vbaProject" Target="vbaProject.bin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8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476250</xdr:rowOff>
        </xdr:from>
        <xdr:to>
          <xdr:col>10</xdr:col>
          <xdr:colOff>1409700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Сформировать отчет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%20&#1054;&#1090;&#1095;&#1105;&#1090;-&#1088;&#1072;&#1089;&#1089;&#1090;&#1072;&#1085;&#1086;&#1074;&#1082;&#1072;%20&#1054;&#1054;&#1054;%20&#1058;&#1045;&#1061;&#1056;&#1045;&#1057;&#1059;&#1056;&#1057;/2025/09%20&#1057;&#1077;&#1085;&#1090;&#1103;&#1073;&#1088;&#1100;/24.09.2025%20&#1054;&#1090;&#1095;&#1105;&#1090;-&#1088;&#1072;&#1089;&#1089;&#1090;&#1072;&#1085;&#1086;&#1074;&#1082;&#1072;%20&#1054;&#1054;&#1054;%20&#1058;&#1045;&#1061;&#1056;&#1045;&#1057;&#1059;&#1056;&#1057;%20&#1084;&#1072;&#1082;&#10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тчет расстановка"/>
      <sheetName val="Персонал Свод"/>
      <sheetName val="Список ФИО"/>
      <sheetName val="Рабочая исходник"/>
      <sheetName val="Водители"/>
      <sheetName val="Лист1"/>
    </sheetNames>
    <sheetDataSet>
      <sheetData sheetId="0"/>
      <sheetData sheetId="1"/>
      <sheetData sheetId="2"/>
      <sheetData sheetId="3"/>
      <sheetData sheetId="4">
        <row r="3">
          <cell r="B3"/>
          <cell r="C3"/>
        </row>
        <row r="4">
          <cell r="B4" t="str">
            <v>Аниськов Владимир Иванович</v>
          </cell>
          <cell r="C4">
            <v>89220048171</v>
          </cell>
        </row>
        <row r="5">
          <cell r="B5" t="str">
            <v>Бадаев Валентин Борисович</v>
          </cell>
          <cell r="C5">
            <v>89934121384</v>
          </cell>
        </row>
        <row r="6">
          <cell r="B6" t="str">
            <v>Резунов Владимир Александрович</v>
          </cell>
          <cell r="C6">
            <v>89224057935</v>
          </cell>
        </row>
        <row r="7">
          <cell r="B7" t="str">
            <v>Брызгалов Андрей Владимирович</v>
          </cell>
          <cell r="C7">
            <v>89221702825</v>
          </cell>
        </row>
        <row r="8">
          <cell r="B8" t="str">
            <v>Гультяев Евгений Викторович</v>
          </cell>
          <cell r="C8">
            <v>89224813515</v>
          </cell>
        </row>
        <row r="9">
          <cell r="B9" t="str">
            <v>Гулидов Александр Васильевич</v>
          </cell>
          <cell r="C9">
            <v>89962821806</v>
          </cell>
        </row>
        <row r="10">
          <cell r="B10" t="str">
            <v>Елагин Алексей Александрович</v>
          </cell>
          <cell r="C10">
            <v>89225461151</v>
          </cell>
        </row>
        <row r="11">
          <cell r="B11" t="str">
            <v>Гугнин Александр Александрович</v>
          </cell>
          <cell r="C11">
            <v>89272514514</v>
          </cell>
        </row>
        <row r="12">
          <cell r="B12" t="str">
            <v>Елисеев Владимир Сергеевич</v>
          </cell>
          <cell r="C12">
            <v>89220402700</v>
          </cell>
        </row>
        <row r="13">
          <cell r="B13" t="str">
            <v>Кремлёв Андрей Сергеевич</v>
          </cell>
          <cell r="C13">
            <v>89829613733</v>
          </cell>
        </row>
        <row r="14">
          <cell r="B14" t="str">
            <v>Кутлуев Радмир Минихатович</v>
          </cell>
          <cell r="C14">
            <v>89961027469</v>
          </cell>
        </row>
        <row r="15">
          <cell r="B15" t="str">
            <v xml:space="preserve">Манджиев Игорь Александрович </v>
          </cell>
          <cell r="C15">
            <v>89277358204</v>
          </cell>
        </row>
        <row r="16">
          <cell r="B16" t="str">
            <v>Расаев Артур Тимерьянович</v>
          </cell>
          <cell r="C16">
            <v>89875874363</v>
          </cell>
        </row>
        <row r="17">
          <cell r="B17" t="str">
            <v>Стерхов Дмитрий Александрович</v>
          </cell>
          <cell r="C17">
            <v>89324874982</v>
          </cell>
        </row>
        <row r="18">
          <cell r="B18" t="str">
            <v>Трофимов Сергей Николаевич</v>
          </cell>
          <cell r="C18">
            <v>89220900063</v>
          </cell>
        </row>
        <row r="19">
          <cell r="B19" t="str">
            <v>Чирятьев Алексей Анатольевич</v>
          </cell>
          <cell r="C19">
            <v>89220455787</v>
          </cell>
        </row>
        <row r="20">
          <cell r="B20" t="str">
            <v xml:space="preserve">Яковлев Александр Александрович </v>
          </cell>
          <cell r="C20">
            <v>89220455787</v>
          </cell>
        </row>
        <row r="21">
          <cell r="C21"/>
        </row>
        <row r="22">
          <cell r="B22"/>
          <cell r="C22"/>
        </row>
        <row r="23">
          <cell r="B23"/>
          <cell r="C23"/>
        </row>
        <row r="24">
          <cell r="B24"/>
        </row>
      </sheetData>
      <sheetData sheetId="5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втор" refreshedDate="45931.562837500001" createdVersion="5" refreshedVersion="7" minRefreshableVersion="3" recordCount="0" supportSubquery="1" supportAdvancedDrill="1" xr:uid="{6ADCD626-BC83-4FB1-90AB-D80384514FBA}">
  <cacheSource type="external" connectionId="1"/>
  <cacheFields count="2">
    <cacheField name="[Таблица2].[Столбец5].[Столбец5]" caption="Столбец5" numFmtId="0" hierarchy="6" level="1">
      <sharedItems count="12">
        <s v="Ведущий инженер СК"/>
        <s v="Инженер БДД"/>
        <s v="Инженер ОЗОТОБОС"/>
        <s v="Инженер ПИЛ  (НК, УЗК)"/>
        <s v="Инженер СК (Геодезические работы)"/>
        <s v="Инженер СК (Геологоизыскательские работы)"/>
        <s v="Инженер СК (общестроительные работы)"/>
        <s v="Инженер СК (общестроительные работы, сварочные технологии)"/>
        <s v="Инженер СК (электромонтажные работы, КИПиА)"/>
        <s v="Инженер СЛ НК"/>
        <s v="Инженер СПД Тюмень"/>
        <s v="Системотехник / Инженер ПТО"/>
      </sharedItems>
    </cacheField>
    <cacheField name="[Таблица2].[Столбец6].[Столбец6]" caption="Столбец6" numFmtId="0" hierarchy="7" level="1">
      <sharedItems count="21">
        <s v="Аниськов Владимир Иванович"/>
        <s v="Елисеев Владимир Сергеевич"/>
        <s v="Еремин Игорь Анатольевич"/>
        <s v="Дунаев Александр Михайлович"/>
        <s v="Бадаев Валентин Борисович"/>
        <s v="Шипицын Дмитрий Викторович"/>
        <s v="Бородин Сергей Иванович"/>
        <s v="Сивокозов Юрий Валентинович"/>
        <s v="Трофимов Сергей Николаевич"/>
        <s v="Аюпов Альберт Рималович"/>
        <s v="Кетских Игорь Валерьевич"/>
        <s v="Расаев Артур Тимерьянович"/>
        <s v="Халиуллин Руслан Раисович"/>
        <s v="Бирюков Алексей Анатольевич"/>
        <s v="Чебарев Игорь Витальевич"/>
        <s v="Щукин Владимир Юрьевич"/>
        <s v="Александров Юрий Георгиевич"/>
        <s v="Глазунова Елена Александровна"/>
        <s v="Мингалева Ольга Николаевна"/>
        <s v="Федотов Евгений Эдуардович"/>
        <s v="Конихин Александр Станиславович"/>
      </sharedItems>
    </cacheField>
  </cacheFields>
  <cacheHierarchies count="21">
    <cacheHierarchy uniqueName="[Персонал].[Должность]" caption="Должность" attribute="1" defaultMemberUniqueName="[Персонал].[Должность].[All]" allUniqueName="[Персонал].[Должность].[All]" dimensionUniqueName="[Персонал]" displayFolder="" count="2" memberValueDatatype="130" unbalanced="0"/>
    <cacheHierarchy uniqueName="[Персонал].[Количество]" caption="Количество" attribute="1" defaultMemberUniqueName="[Персонал].[Количество].[All]" allUniqueName="[Персонал].[Количество].[All]" dimensionUniqueName="[Персонал]" displayFolder="" count="0" memberValueDatatype="20" unbalanced="0"/>
    <cacheHierarchy uniqueName="[Таблица2].[Столбец1]" caption="Столбец1" attribute="1" defaultMemberUniqueName="[Таблица2].[Столбец1].[All]" allUniqueName="[Таблица2].[Столбец1].[All]" dimensionUniqueName="[Таблица2]" displayFolder="" count="2" memberValueDatatype="130" unbalanced="0"/>
    <cacheHierarchy uniqueName="[Таблица2].[Столбец2]" caption="Столбец2" attribute="1" defaultMemberUniqueName="[Таблица2].[Столбец2].[All]" allUniqueName="[Таблица2].[Столбец2].[All]" dimensionUniqueName="[Таблица2]" displayFolder="" count="0" memberValueDatatype="130" unbalanced="0"/>
    <cacheHierarchy uniqueName="[Таблица2].[Столбец3]" caption="Столбец3" attribute="1" defaultMemberUniqueName="[Таблица2].[Столбец3].[All]" allUniqueName="[Таблица2].[Столбец3].[All]" dimensionUniqueName="[Таблица2]" displayFolder="" count="0" memberValueDatatype="130" unbalanced="0"/>
    <cacheHierarchy uniqueName="[Таблица2].[Столбец4]" caption="Столбец4" attribute="1" defaultMemberUniqueName="[Таблица2].[Столбец4].[All]" allUniqueName="[Таблица2].[Столбец4].[All]" dimensionUniqueName="[Таблица2]" displayFolder="" count="0" memberValueDatatype="130" unbalanced="0"/>
    <cacheHierarchy uniqueName="[Таблица2].[Столбец5]" caption="Столбец5" attribute="1" defaultMemberUniqueName="[Таблица2].[Столбец5].[All]" allUniqueName="[Таблица2].[Столбец5].[All]" dimensionUniqueName="[Таблица2]" displayFolder="" count="2" memberValueDatatype="130" unbalanced="0">
      <fieldsUsage count="2">
        <fieldUsage x="-1"/>
        <fieldUsage x="0"/>
      </fieldsUsage>
    </cacheHierarchy>
    <cacheHierarchy uniqueName="[Таблица2].[Столбец6]" caption="Столбец6" attribute="1" defaultMemberUniqueName="[Таблица2].[Столбец6].[All]" allUniqueName="[Таблица2].[Столбец6].[All]" dimensionUniqueName="[Таблица2]" displayFolder="" count="2" memberValueDatatype="130" unbalanced="0">
      <fieldsUsage count="2">
        <fieldUsage x="-1"/>
        <fieldUsage x="1"/>
      </fieldsUsage>
    </cacheHierarchy>
    <cacheHierarchy uniqueName="[Таблица2].[Столбец7]" caption="Столбец7" attribute="1" defaultMemberUniqueName="[Таблица2].[Столбец7].[All]" allUniqueName="[Таблица2].[Столбец7].[All]" dimensionUniqueName="[Таблица2]" displayFolder="" count="2" memberValueDatatype="130" unbalanced="0"/>
    <cacheHierarchy uniqueName="[Таблица2].[Столбец8]" caption="Столбец8" attribute="1" defaultMemberUniqueName="[Таблица2].[Столбец8].[All]" allUniqueName="[Таблица2].[Столбец8].[All]" dimensionUniqueName="[Таблица2]" displayFolder="" count="0" memberValueDatatype="130" unbalanced="0"/>
    <cacheHierarchy uniqueName="[Таблица2].[Столбец9]" caption="Столбец9" attribute="1" defaultMemberUniqueName="[Таблица2].[Столбец9].[All]" allUniqueName="[Таблица2].[Столбец9].[All]" dimensionUniqueName="[Таблица2]" displayFolder="" count="0" memberValueDatatype="130" unbalanced="0"/>
    <cacheHierarchy uniqueName="[Таблица2_2].[Столбец6]" caption="Столбец6" attribute="1" defaultMemberUniqueName="[Таблица2_2].[Столбец6].[All]" allUniqueName="[Таблица2_2].[Столбец6].[All]" dimensionUniqueName="[Таблица2_2]" displayFolder="" count="2" memberValueDatatype="130" unbalanced="0"/>
    <cacheHierarchy uniqueName="[Таблица2_2].[Количество]" caption="Количество" attribute="1" defaultMemberUniqueName="[Таблица2_2].[Количество].[All]" allUniqueName="[Таблица2_2].[Количество].[All]" dimensionUniqueName="[Таблица2_2]" displayFolder="" count="0" memberValueDatatype="20" unbalanced="0"/>
    <cacheHierarchy uniqueName="[Measures].[__XL_Count Таблица2]" caption="__XL_Count Таблица2" measure="1" displayFolder="" measureGroup="Таблица2" count="0" hidden="1"/>
    <cacheHierarchy uniqueName="[Measures].[__XL_Count Персонал]" caption="__XL_Count Персонал" measure="1" displayFolder="" measureGroup="Персонал" count="0" hidden="1"/>
    <cacheHierarchy uniqueName="[Measures].[__XL_Count Таблица2_2]" caption="__XL_Count Таблица2_2" measure="1" displayFolder="" measureGroup="Таблица2_2" count="0" hidden="1"/>
    <cacheHierarchy uniqueName="[Measures].[__No measures defined]" caption="__No measures defined" measure="1" displayFolder="" count="0" hidden="1"/>
    <cacheHierarchy uniqueName="[Measures].[Сумма по столбцу Количество 2]" caption="Сумма по столбцу Количество 2" measure="1" displayFolder="" measureGroup="Таблица2_2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Число элементов в столбце Столбец5]" caption="Число элементов в столбце Столбец5" measure="1" displayFolder="" measureGroup="Таблица2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Столбец6]" caption="Число элементов в столбце Столбец6" measure="1" displayFolder="" measureGroup="Таблица2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Сумма по столбцу Количество]" caption="Сумма по столбцу Количество" measure="1" displayFolder="" measureGroup="Персонал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4">
    <dimension measure="1" name="Measures" uniqueName="[Measures]" caption="Measures"/>
    <dimension name="Персонал" uniqueName="[Персонал]" caption="Персонал"/>
    <dimension name="Таблица2" uniqueName="[Таблица2]" caption="Таблица2"/>
    <dimension name="Таблица2_2" uniqueName="[Таблица2_2]" caption="Таблица2_2"/>
  </dimensions>
  <measureGroups count="3">
    <measureGroup name="Персонал" caption="Персонал"/>
    <measureGroup name="Таблица2" caption="Таблица2"/>
    <measureGroup name="Таблица2_2" caption="Таблица2_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039BE0-32ED-4A85-8C95-FDEC172B454E}" name="Сводная таблица1" cacheId="0" applyNumberFormats="0" applyBorderFormats="0" applyFontFormats="0" applyPatternFormats="0" applyAlignmentFormats="0" applyWidthHeightFormats="1" dataCaption="Значения" tag="458eafb3-325b-41d2-9b6c-b8c762d49276" updatedVersion="7" minRefreshableVersion="3" useAutoFormatting="1" itemPrintTitles="1" createdVersion="5" indent="0" outline="1" outlineData="1" multipleFieldFilters="0">
  <location ref="B3:B37" firstHeaderRow="1" firstDataRow="1" firstDataCol="1"/>
  <pivotFields count="2">
    <pivotField axis="axisRow" allDrilled="1" subtotalTop="0" showAll="0" dataSourceSort="1" defaultSubtotal="0" defaultAttributeDrillState="1">
      <items count="12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</items>
    </pivotField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2">
    <field x="0"/>
    <field x="1"/>
  </rowFields>
  <rowItems count="34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 r="1">
      <x v="5"/>
    </i>
    <i>
      <x v="5"/>
    </i>
    <i r="1">
      <x v="6"/>
    </i>
    <i>
      <x v="6"/>
    </i>
    <i r="1">
      <x v="7"/>
    </i>
    <i r="1">
      <x v="8"/>
    </i>
    <i>
      <x v="7"/>
    </i>
    <i r="1">
      <x v="9"/>
    </i>
    <i r="1">
      <x v="10"/>
    </i>
    <i r="1">
      <x v="11"/>
    </i>
    <i r="1">
      <x v="12"/>
    </i>
    <i>
      <x v="8"/>
    </i>
    <i r="1">
      <x v="13"/>
    </i>
    <i r="1">
      <x v="14"/>
    </i>
    <i>
      <x v="9"/>
    </i>
    <i r="1">
      <x v="15"/>
    </i>
    <i>
      <x v="10"/>
    </i>
    <i r="1">
      <x v="16"/>
    </i>
    <i r="1">
      <x v="17"/>
    </i>
    <i r="1">
      <x v="18"/>
    </i>
    <i r="1">
      <x v="19"/>
    </i>
    <i>
      <x v="11"/>
    </i>
    <i r="1">
      <x v="20"/>
    </i>
    <i t="grand">
      <x/>
    </i>
  </rowItem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Персонал]"/>
        <x15:activeTabTopLevelEntity name="[Таблица2_2]"/>
        <x15:activeTabTopLevelEntity name="[Таблица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B1F3C3CE-233C-452B-AB00-D1C4085F57F7}" autoFormatId="16" applyNumberFormats="0" applyBorderFormats="0" applyFontFormats="0" applyPatternFormats="0" applyAlignmentFormats="0" applyWidthHeightFormats="0">
  <queryTableRefresh nextId="3">
    <queryTableFields count="2">
      <queryTableField id="1" name="Должность" tableColumnId="1"/>
      <queryTableField id="2" name="Количество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CD73C5D-EEFD-4689-988C-D9CB35C37E20}" autoFormatId="16" applyNumberFormats="0" applyBorderFormats="0" applyFontFormats="0" applyPatternFormats="0" applyAlignmentFormats="0" applyWidthHeightFormats="0">
  <queryTableRefresh nextId="3">
    <queryTableFields count="2">
      <queryTableField id="1" name="Столбец6" tableColumnId="1"/>
      <queryTableField id="2" name="Количество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F0A73D-2302-491F-91DE-B43895B80BF8}" name="Таблица2" displayName="Таблица2" ref="A3:I62" totalsRowShown="0" headerRowDxfId="11" headerRowBorderDxfId="10" tableBorderDxfId="9" totalsRowBorderDxfId="8">
  <autoFilter ref="A3:I62" xr:uid="{07F0A73D-2302-491F-91DE-B43895B80BF8}"/>
  <tableColumns count="9">
    <tableColumn id="1" xr3:uid="{15B3EC45-E01C-4D48-90D4-E2BD1ADADC5B}" name="Столбец1" dataDxfId="7"/>
    <tableColumn id="2" xr3:uid="{3A25E655-9308-4C1D-A071-C0D7782F5C72}" name="Столбец2" dataDxfId="6"/>
    <tableColumn id="3" xr3:uid="{E5318372-6F0B-4BBA-91C3-4A2ABE2E2C6A}" name="Столбец3" dataDxfId="5"/>
    <tableColumn id="4" xr3:uid="{D7BFD39F-C3BD-4993-85BB-C224CFAED34A}" name="Столбец4" dataDxfId="4"/>
    <tableColumn id="5" xr3:uid="{71DB3F39-F34A-4094-9CC8-43B1AB033524}" name="Столбец5" dataDxfId="3"/>
    <tableColumn id="6" xr3:uid="{25714838-305D-4B9B-AF6B-CEE574BDE8B9}" name="Столбец6" dataDxfId="2"/>
    <tableColumn id="7" xr3:uid="{2F32C2C7-601E-44B1-9C41-B92C38F6C7F5}" name="Столбец7" dataDxfId="1"/>
    <tableColumn id="8" xr3:uid="{C776C35E-5002-4A95-AFF4-782AC9F213FF}" name="Столбец8" dataDxfId="0"/>
    <tableColumn id="9" xr3:uid="{A338F0E6-6F16-4B60-A953-5ADEC54F3819}" name="Столбец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BA5124-0580-4008-9CD9-39C401B1A305}" name="Персонал" displayName="Персонал" ref="A1:B17" tableType="queryTable" totalsRowCount="1">
  <autoFilter ref="A1:B16" xr:uid="{02BA5124-0580-4008-9CD9-39C401B1A305}">
    <filterColumn colId="0">
      <customFilters>
        <customFilter operator="notEqual" val=" "/>
      </customFilters>
    </filterColumn>
  </autoFilter>
  <tableColumns count="2">
    <tableColumn id="1" xr3:uid="{46AECC57-B02A-4AD4-A92D-C47457E65B09}" uniqueName="1" name="Должность" queryTableFieldId="1"/>
    <tableColumn id="2" xr3:uid="{A28B6EDA-48AC-4446-8E0E-63B9E8C75996}" uniqueName="2" name="Количество" totalsRowFunction="sum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496EE5E-8F0E-45B6-B2DB-A1F2BD100F16}" name="Таблица2_2" displayName="Таблица2_2" ref="A1:B39" tableType="queryTable" totalsRowCount="1">
  <autoFilter ref="A1:B38" xr:uid="{8496EE5E-8F0E-45B6-B2DB-A1F2BD100F16}"/>
  <sortState xmlns:xlrd2="http://schemas.microsoft.com/office/spreadsheetml/2017/richdata2" ref="A2:B38">
    <sortCondition ref="A1:A38"/>
  </sortState>
  <tableColumns count="2">
    <tableColumn id="1" xr3:uid="{2ACBC401-9A38-45C3-9BD0-EB72419C7540}" uniqueName="1" name="Столбец6" totalsRowFunction="count" queryTableFieldId="1"/>
    <tableColumn id="2" xr3:uid="{FE10DFFE-0804-49FD-B8CB-F3540A35CDDC}" uniqueName="2" name="Количество" totalsRowFunction="sum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J62"/>
  <sheetViews>
    <sheetView tabSelected="1" view="pageBreakPreview" topLeftCell="A34" zoomScale="80" zoomScaleNormal="70" zoomScaleSheetLayoutView="80" workbookViewId="0">
      <selection activeCell="C50" sqref="C50"/>
    </sheetView>
  </sheetViews>
  <sheetFormatPr defaultColWidth="9.140625" defaultRowHeight="12" x14ac:dyDescent="0.2"/>
  <cols>
    <col min="1" max="1" width="10.7109375" style="1" customWidth="1"/>
    <col min="2" max="2" width="44" style="1" customWidth="1"/>
    <col min="3" max="3" width="18.85546875" style="1" customWidth="1"/>
    <col min="4" max="4" width="19.28515625" style="1" hidden="1" customWidth="1"/>
    <col min="5" max="5" width="32.42578125" style="1" customWidth="1"/>
    <col min="6" max="6" width="33.5703125" style="1" customWidth="1"/>
    <col min="7" max="8" width="24.42578125" style="1" customWidth="1"/>
    <col min="9" max="9" width="29.140625" style="3" customWidth="1"/>
    <col min="10" max="10" width="16.85546875" style="3" customWidth="1"/>
    <col min="11" max="11" width="33.85546875" style="1" customWidth="1"/>
    <col min="12" max="16384" width="9.140625" style="1"/>
  </cols>
  <sheetData>
    <row r="2" spans="1:10" ht="38.25" x14ac:dyDescent="0.2">
      <c r="A2" s="60" t="s">
        <v>0</v>
      </c>
      <c r="B2" s="60" t="s">
        <v>1</v>
      </c>
      <c r="C2" s="60" t="s">
        <v>7</v>
      </c>
      <c r="D2" s="60" t="s">
        <v>34</v>
      </c>
      <c r="E2" s="60" t="s">
        <v>35</v>
      </c>
      <c r="F2" s="60" t="s">
        <v>33</v>
      </c>
      <c r="G2" s="60" t="s">
        <v>2</v>
      </c>
      <c r="H2" s="77" t="s">
        <v>56</v>
      </c>
      <c r="I2" s="77"/>
      <c r="J2" s="5"/>
    </row>
    <row r="3" spans="1:10" x14ac:dyDescent="0.2">
      <c r="A3" s="55" t="s">
        <v>78</v>
      </c>
      <c r="B3" s="11" t="s">
        <v>79</v>
      </c>
      <c r="C3" s="11" t="s">
        <v>80</v>
      </c>
      <c r="D3" s="11" t="s">
        <v>81</v>
      </c>
      <c r="E3" s="11" t="s">
        <v>82</v>
      </c>
      <c r="F3" s="11" t="s">
        <v>83</v>
      </c>
      <c r="G3" s="11" t="s">
        <v>84</v>
      </c>
      <c r="H3" s="11" t="s">
        <v>85</v>
      </c>
      <c r="I3" s="55" t="s">
        <v>86</v>
      </c>
      <c r="J3" s="6"/>
    </row>
    <row r="4" spans="1:10" ht="12.95" customHeight="1" x14ac:dyDescent="0.2">
      <c r="A4" s="54">
        <v>1</v>
      </c>
      <c r="B4" s="2">
        <v>2</v>
      </c>
      <c r="C4" s="54">
        <v>3</v>
      </c>
      <c r="D4" s="2">
        <v>4</v>
      </c>
      <c r="E4" s="54">
        <v>5</v>
      </c>
      <c r="F4" s="2">
        <v>6</v>
      </c>
      <c r="G4" s="54">
        <v>7</v>
      </c>
      <c r="H4" s="2">
        <v>8</v>
      </c>
      <c r="I4" s="54">
        <v>9</v>
      </c>
      <c r="J4" s="7"/>
    </row>
    <row r="5" spans="1:10" ht="36" customHeight="1" x14ac:dyDescent="0.2">
      <c r="A5" s="61">
        <v>1</v>
      </c>
      <c r="B5" s="62" t="s">
        <v>189</v>
      </c>
      <c r="C5" s="63" t="s">
        <v>145</v>
      </c>
      <c r="D5" s="2"/>
      <c r="E5" s="2" t="s">
        <v>24</v>
      </c>
      <c r="F5" s="2" t="s">
        <v>95</v>
      </c>
      <c r="G5" s="2">
        <v>89226212658</v>
      </c>
      <c r="H5" s="2" t="s">
        <v>100</v>
      </c>
      <c r="I5" s="64">
        <v>89221702825</v>
      </c>
      <c r="J5" s="6"/>
    </row>
    <row r="6" spans="1:10" ht="48.6" customHeight="1" x14ac:dyDescent="0.2">
      <c r="A6" s="61">
        <v>2</v>
      </c>
      <c r="B6" s="62" t="s">
        <v>190</v>
      </c>
      <c r="C6" s="63" t="s">
        <v>145</v>
      </c>
      <c r="D6" s="2"/>
      <c r="E6" s="2" t="s">
        <v>24</v>
      </c>
      <c r="F6" s="2" t="s">
        <v>95</v>
      </c>
      <c r="G6" s="2">
        <v>89226212658</v>
      </c>
      <c r="H6" s="2" t="s">
        <v>100</v>
      </c>
      <c r="I6" s="64">
        <v>89221702825</v>
      </c>
      <c r="J6" s="6"/>
    </row>
    <row r="7" spans="1:10" ht="36" customHeight="1" x14ac:dyDescent="0.2">
      <c r="A7" s="61">
        <v>3</v>
      </c>
      <c r="B7" s="62" t="s">
        <v>191</v>
      </c>
      <c r="C7" s="63" t="s">
        <v>145</v>
      </c>
      <c r="D7" s="2"/>
      <c r="E7" s="2" t="s">
        <v>24</v>
      </c>
      <c r="F7" s="2" t="s">
        <v>95</v>
      </c>
      <c r="G7" s="2">
        <v>89226212658</v>
      </c>
      <c r="H7" s="2" t="s">
        <v>100</v>
      </c>
      <c r="I7" s="64">
        <v>89221702825</v>
      </c>
      <c r="J7" s="6"/>
    </row>
    <row r="8" spans="1:10" ht="36" customHeight="1" x14ac:dyDescent="0.2">
      <c r="A8" s="61">
        <v>4</v>
      </c>
      <c r="B8" s="62" t="s">
        <v>179</v>
      </c>
      <c r="C8" s="63" t="s">
        <v>145</v>
      </c>
      <c r="D8" s="2"/>
      <c r="E8" s="2" t="s">
        <v>22</v>
      </c>
      <c r="F8" s="2" t="s">
        <v>133</v>
      </c>
      <c r="G8" s="2">
        <v>89821711615</v>
      </c>
      <c r="H8" s="2" t="s">
        <v>188</v>
      </c>
      <c r="I8" s="64">
        <v>89236830899</v>
      </c>
      <c r="J8" s="6"/>
    </row>
    <row r="9" spans="1:10" ht="36" customHeight="1" x14ac:dyDescent="0.2">
      <c r="A9" s="61">
        <v>5</v>
      </c>
      <c r="B9" s="62" t="s">
        <v>183</v>
      </c>
      <c r="C9" s="63" t="s">
        <v>145</v>
      </c>
      <c r="D9" s="2"/>
      <c r="E9" s="2" t="s">
        <v>22</v>
      </c>
      <c r="F9" s="2" t="s">
        <v>133</v>
      </c>
      <c r="G9" s="2">
        <v>89821711615</v>
      </c>
      <c r="H9" s="2" t="s">
        <v>188</v>
      </c>
      <c r="I9" s="64">
        <v>89236830899</v>
      </c>
      <c r="J9" s="6"/>
    </row>
    <row r="10" spans="1:10" ht="36" customHeight="1" x14ac:dyDescent="0.2">
      <c r="A10" s="61">
        <v>6</v>
      </c>
      <c r="B10" s="62" t="s">
        <v>160</v>
      </c>
      <c r="C10" s="63" t="s">
        <v>145</v>
      </c>
      <c r="D10" s="2"/>
      <c r="E10" s="2" t="s">
        <v>24</v>
      </c>
      <c r="F10" s="2" t="s">
        <v>14</v>
      </c>
      <c r="G10" s="2">
        <v>89272514514</v>
      </c>
      <c r="H10" s="2" t="s">
        <v>119</v>
      </c>
      <c r="I10" s="64">
        <v>89226535314</v>
      </c>
      <c r="J10" s="6"/>
    </row>
    <row r="11" spans="1:10" ht="36" customHeight="1" x14ac:dyDescent="0.2">
      <c r="A11" s="61">
        <v>7</v>
      </c>
      <c r="B11" s="62" t="s">
        <v>176</v>
      </c>
      <c r="C11" s="63" t="s">
        <v>145</v>
      </c>
      <c r="D11" s="2"/>
      <c r="E11" s="2" t="s">
        <v>37</v>
      </c>
      <c r="F11" s="2" t="s">
        <v>180</v>
      </c>
      <c r="G11" s="2">
        <v>89527232654</v>
      </c>
      <c r="H11" s="2" t="s">
        <v>100</v>
      </c>
      <c r="I11" s="64">
        <v>89221702825</v>
      </c>
      <c r="J11" s="6"/>
    </row>
    <row r="12" spans="1:10" ht="36" customHeight="1" x14ac:dyDescent="0.2">
      <c r="A12" s="61">
        <v>8</v>
      </c>
      <c r="B12" s="62" t="s">
        <v>176</v>
      </c>
      <c r="C12" s="2" t="s">
        <v>145</v>
      </c>
      <c r="D12" s="2"/>
      <c r="E12" s="2" t="s">
        <v>37</v>
      </c>
      <c r="F12" s="2" t="s">
        <v>180</v>
      </c>
      <c r="G12" s="2">
        <v>89527232654</v>
      </c>
      <c r="H12" s="2" t="s">
        <v>100</v>
      </c>
      <c r="I12" s="64">
        <v>89221702825</v>
      </c>
      <c r="J12" s="6"/>
    </row>
    <row r="13" spans="1:10" ht="36" customHeight="1" x14ac:dyDescent="0.2">
      <c r="A13" s="61">
        <v>9</v>
      </c>
      <c r="B13" s="62" t="s">
        <v>186</v>
      </c>
      <c r="C13" s="63" t="s">
        <v>145</v>
      </c>
      <c r="D13" s="2"/>
      <c r="E13" s="2" t="s">
        <v>22</v>
      </c>
      <c r="F13" s="2" t="s">
        <v>153</v>
      </c>
      <c r="G13" s="2">
        <v>89223992306</v>
      </c>
      <c r="H13" s="2" t="s">
        <v>155</v>
      </c>
      <c r="I13" s="64">
        <v>89224136139</v>
      </c>
      <c r="J13" s="6"/>
    </row>
    <row r="14" spans="1:10" ht="36" customHeight="1" x14ac:dyDescent="0.2">
      <c r="A14" s="61">
        <v>10</v>
      </c>
      <c r="B14" s="62" t="s">
        <v>161</v>
      </c>
      <c r="C14" s="63" t="s">
        <v>145</v>
      </c>
      <c r="D14" s="2"/>
      <c r="E14" s="2" t="s">
        <v>22</v>
      </c>
      <c r="F14" s="2" t="s">
        <v>153</v>
      </c>
      <c r="G14" s="2">
        <v>89223992306</v>
      </c>
      <c r="H14" s="2" t="s">
        <v>155</v>
      </c>
      <c r="I14" s="64">
        <v>89224136139</v>
      </c>
      <c r="J14" s="6"/>
    </row>
    <row r="15" spans="1:10" ht="36" customHeight="1" x14ac:dyDescent="0.2">
      <c r="A15" s="61">
        <v>11</v>
      </c>
      <c r="B15" s="62" t="s">
        <v>185</v>
      </c>
      <c r="C15" s="63" t="s">
        <v>145</v>
      </c>
      <c r="D15" s="2"/>
      <c r="E15" s="2" t="s">
        <v>22</v>
      </c>
      <c r="F15" s="2" t="s">
        <v>153</v>
      </c>
      <c r="G15" s="2">
        <v>89223992306</v>
      </c>
      <c r="H15" s="2" t="s">
        <v>155</v>
      </c>
      <c r="I15" s="64">
        <v>89224136139</v>
      </c>
      <c r="J15" s="6"/>
    </row>
    <row r="16" spans="1:10" ht="36" customHeight="1" x14ac:dyDescent="0.2">
      <c r="A16" s="61">
        <v>12</v>
      </c>
      <c r="B16" s="62" t="s">
        <v>165</v>
      </c>
      <c r="C16" s="63" t="s">
        <v>145</v>
      </c>
      <c r="D16" s="2"/>
      <c r="E16" s="2" t="s">
        <v>22</v>
      </c>
      <c r="F16" s="2" t="s">
        <v>65</v>
      </c>
      <c r="G16" s="2">
        <v>89232966546</v>
      </c>
      <c r="H16" s="2" t="s">
        <v>100</v>
      </c>
      <c r="I16" s="64">
        <v>89221702825</v>
      </c>
      <c r="J16" s="6"/>
    </row>
    <row r="17" spans="1:10" ht="36" customHeight="1" x14ac:dyDescent="0.2">
      <c r="A17" s="61">
        <v>13</v>
      </c>
      <c r="B17" s="62" t="s">
        <v>157</v>
      </c>
      <c r="C17" s="63" t="s">
        <v>145</v>
      </c>
      <c r="D17" s="2"/>
      <c r="E17" s="2" t="s">
        <v>22</v>
      </c>
      <c r="F17" s="2" t="s">
        <v>9</v>
      </c>
      <c r="G17" s="2">
        <v>89277358204</v>
      </c>
      <c r="H17" s="2" t="s">
        <v>188</v>
      </c>
      <c r="I17" s="64">
        <v>89236830899</v>
      </c>
      <c r="J17" s="6"/>
    </row>
    <row r="18" spans="1:10" ht="36" customHeight="1" x14ac:dyDescent="0.2">
      <c r="A18" s="61">
        <v>14</v>
      </c>
      <c r="B18" s="62" t="s">
        <v>158</v>
      </c>
      <c r="C18" s="63" t="s">
        <v>145</v>
      </c>
      <c r="D18" s="2"/>
      <c r="E18" s="2" t="s">
        <v>22</v>
      </c>
      <c r="F18" s="2" t="s">
        <v>9</v>
      </c>
      <c r="G18" s="2">
        <v>89277358204</v>
      </c>
      <c r="H18" s="2" t="s">
        <v>188</v>
      </c>
      <c r="I18" s="64">
        <v>89236830899</v>
      </c>
      <c r="J18" s="6"/>
    </row>
    <row r="19" spans="1:10" ht="36" customHeight="1" x14ac:dyDescent="0.2">
      <c r="A19" s="61">
        <v>15</v>
      </c>
      <c r="B19" s="62" t="s">
        <v>181</v>
      </c>
      <c r="C19" s="63" t="s">
        <v>145</v>
      </c>
      <c r="D19" s="2"/>
      <c r="E19" s="2" t="s">
        <v>22</v>
      </c>
      <c r="F19" s="2" t="s">
        <v>12</v>
      </c>
      <c r="G19" s="2">
        <v>89371625502</v>
      </c>
      <c r="H19" s="2" t="s">
        <v>12</v>
      </c>
      <c r="I19" s="64">
        <v>89371625502</v>
      </c>
      <c r="J19" s="6"/>
    </row>
    <row r="20" spans="1:10" ht="36" customHeight="1" x14ac:dyDescent="0.2">
      <c r="A20" s="61">
        <v>16</v>
      </c>
      <c r="B20" s="62" t="s">
        <v>167</v>
      </c>
      <c r="C20" s="63" t="s">
        <v>145</v>
      </c>
      <c r="D20" s="2"/>
      <c r="E20" s="2" t="s">
        <v>22</v>
      </c>
      <c r="F20" s="2" t="s">
        <v>12</v>
      </c>
      <c r="G20" s="2">
        <v>89371625502</v>
      </c>
      <c r="H20" s="2" t="s">
        <v>12</v>
      </c>
      <c r="I20" s="64">
        <v>89371625502</v>
      </c>
      <c r="J20" s="6"/>
    </row>
    <row r="21" spans="1:10" ht="36" customHeight="1" x14ac:dyDescent="0.2">
      <c r="A21" s="61">
        <v>17</v>
      </c>
      <c r="B21" s="62" t="s">
        <v>162</v>
      </c>
      <c r="C21" s="63" t="s">
        <v>145</v>
      </c>
      <c r="D21" s="2"/>
      <c r="E21" s="2" t="s">
        <v>22</v>
      </c>
      <c r="F21" s="2" t="s">
        <v>140</v>
      </c>
      <c r="G21" s="2">
        <v>89225472248</v>
      </c>
      <c r="H21" s="2" t="s">
        <v>156</v>
      </c>
      <c r="I21" s="64">
        <v>89220006159</v>
      </c>
      <c r="J21" s="6"/>
    </row>
    <row r="22" spans="1:10" ht="36" customHeight="1" x14ac:dyDescent="0.2">
      <c r="A22" s="61">
        <v>18</v>
      </c>
      <c r="B22" s="62" t="s">
        <v>163</v>
      </c>
      <c r="C22" s="63" t="s">
        <v>145</v>
      </c>
      <c r="D22" s="2"/>
      <c r="E22" s="2" t="s">
        <v>22</v>
      </c>
      <c r="F22" s="2" t="s">
        <v>140</v>
      </c>
      <c r="G22" s="2">
        <v>89225472248</v>
      </c>
      <c r="H22" s="2" t="s">
        <v>156</v>
      </c>
      <c r="I22" s="64">
        <v>89220006159</v>
      </c>
      <c r="J22" s="6"/>
    </row>
    <row r="23" spans="1:10" ht="36" customHeight="1" x14ac:dyDescent="0.2">
      <c r="A23" s="61">
        <v>19</v>
      </c>
      <c r="B23" s="62" t="s">
        <v>139</v>
      </c>
      <c r="C23" s="63" t="s">
        <v>145</v>
      </c>
      <c r="D23" s="2"/>
      <c r="E23" s="2" t="s">
        <v>22</v>
      </c>
      <c r="F23" s="2" t="s">
        <v>129</v>
      </c>
      <c r="G23" s="2">
        <v>89223958724</v>
      </c>
      <c r="H23" s="2" t="s">
        <v>100</v>
      </c>
      <c r="I23" s="64">
        <v>89221702825</v>
      </c>
      <c r="J23" s="6"/>
    </row>
    <row r="24" spans="1:10" ht="36" customHeight="1" x14ac:dyDescent="0.2">
      <c r="A24" s="61">
        <v>20</v>
      </c>
      <c r="B24" s="62" t="s">
        <v>164</v>
      </c>
      <c r="C24" s="63" t="s">
        <v>145</v>
      </c>
      <c r="D24" s="2"/>
      <c r="E24" s="2" t="s">
        <v>22</v>
      </c>
      <c r="F24" s="2" t="s">
        <v>129</v>
      </c>
      <c r="G24" s="2">
        <v>89223958724</v>
      </c>
      <c r="H24" s="2" t="s">
        <v>100</v>
      </c>
      <c r="I24" s="64">
        <v>89221702825</v>
      </c>
      <c r="J24" s="6"/>
    </row>
    <row r="25" spans="1:10" ht="36" customHeight="1" x14ac:dyDescent="0.2">
      <c r="A25" s="61">
        <v>21</v>
      </c>
      <c r="B25" s="62" t="s">
        <v>187</v>
      </c>
      <c r="C25" s="63" t="s">
        <v>145</v>
      </c>
      <c r="D25" s="2"/>
      <c r="E25" s="2" t="s">
        <v>22</v>
      </c>
      <c r="F25" s="2" t="s">
        <v>10</v>
      </c>
      <c r="G25" s="2">
        <v>89875874363</v>
      </c>
      <c r="H25" s="2" t="s">
        <v>10</v>
      </c>
      <c r="I25" s="64">
        <v>89875874363</v>
      </c>
      <c r="J25" s="6"/>
    </row>
    <row r="26" spans="1:10" ht="36" customHeight="1" x14ac:dyDescent="0.2">
      <c r="A26" s="61">
        <v>22</v>
      </c>
      <c r="B26" s="65" t="s">
        <v>187</v>
      </c>
      <c r="C26" s="63" t="s">
        <v>145</v>
      </c>
      <c r="D26" s="2"/>
      <c r="E26" s="2" t="s">
        <v>22</v>
      </c>
      <c r="F26" s="2" t="s">
        <v>10</v>
      </c>
      <c r="G26" s="2">
        <v>89875874363</v>
      </c>
      <c r="H26" s="2" t="s">
        <v>10</v>
      </c>
      <c r="I26" s="64">
        <v>89875874363</v>
      </c>
      <c r="J26" s="6"/>
    </row>
    <row r="27" spans="1:10" ht="36" customHeight="1" x14ac:dyDescent="0.2">
      <c r="A27" s="61">
        <v>23</v>
      </c>
      <c r="B27" s="65" t="s">
        <v>165</v>
      </c>
      <c r="C27" s="63" t="s">
        <v>145</v>
      </c>
      <c r="D27" s="2"/>
      <c r="E27" s="2" t="s">
        <v>22</v>
      </c>
      <c r="F27" s="2" t="s">
        <v>148</v>
      </c>
      <c r="G27" s="2">
        <v>89224585613</v>
      </c>
      <c r="H27" s="2" t="s">
        <v>156</v>
      </c>
      <c r="I27" s="64">
        <v>89220006159</v>
      </c>
      <c r="J27" s="6"/>
    </row>
    <row r="28" spans="1:10" ht="36" customHeight="1" x14ac:dyDescent="0.2">
      <c r="A28" s="61">
        <v>24</v>
      </c>
      <c r="B28" s="65" t="s">
        <v>166</v>
      </c>
      <c r="C28" s="63" t="s">
        <v>145</v>
      </c>
      <c r="D28" s="2"/>
      <c r="E28" s="2" t="s">
        <v>22</v>
      </c>
      <c r="F28" s="2" t="s">
        <v>148</v>
      </c>
      <c r="G28" s="2">
        <v>89224585613</v>
      </c>
      <c r="H28" s="2" t="s">
        <v>156</v>
      </c>
      <c r="I28" s="64">
        <v>89220006159</v>
      </c>
      <c r="J28" s="6"/>
    </row>
    <row r="29" spans="1:10" ht="36" customHeight="1" x14ac:dyDescent="0.2">
      <c r="A29" s="61">
        <v>25</v>
      </c>
      <c r="B29" s="65" t="s">
        <v>151</v>
      </c>
      <c r="C29" s="2" t="s">
        <v>145</v>
      </c>
      <c r="D29" s="2"/>
      <c r="E29" s="2" t="s">
        <v>22</v>
      </c>
      <c r="F29" s="2" t="s">
        <v>182</v>
      </c>
      <c r="G29" s="2">
        <v>89179539291</v>
      </c>
      <c r="H29" s="2" t="s">
        <v>51</v>
      </c>
      <c r="I29" s="64">
        <v>89324874982</v>
      </c>
      <c r="J29" s="6"/>
    </row>
    <row r="30" spans="1:10" ht="36" customHeight="1" x14ac:dyDescent="0.2">
      <c r="A30" s="61">
        <v>26</v>
      </c>
      <c r="B30" s="65" t="s">
        <v>168</v>
      </c>
      <c r="C30" s="2" t="s">
        <v>145</v>
      </c>
      <c r="D30" s="2"/>
      <c r="E30" s="2" t="s">
        <v>37</v>
      </c>
      <c r="F30" s="2" t="s">
        <v>15</v>
      </c>
      <c r="G30" s="2">
        <v>89220900063</v>
      </c>
      <c r="H30" s="2" t="s">
        <v>155</v>
      </c>
      <c r="I30" s="64">
        <v>89224136139</v>
      </c>
      <c r="J30" s="6"/>
    </row>
    <row r="31" spans="1:10" ht="36" customHeight="1" x14ac:dyDescent="0.2">
      <c r="A31" s="61">
        <v>27</v>
      </c>
      <c r="B31" s="65" t="s">
        <v>169</v>
      </c>
      <c r="C31" s="2" t="s">
        <v>145</v>
      </c>
      <c r="D31" s="2"/>
      <c r="E31" s="2" t="s">
        <v>37</v>
      </c>
      <c r="F31" s="2" t="s">
        <v>15</v>
      </c>
      <c r="G31" s="2">
        <v>89220900063</v>
      </c>
      <c r="H31" s="2" t="s">
        <v>155</v>
      </c>
      <c r="I31" s="64">
        <v>89224136139</v>
      </c>
    </row>
    <row r="32" spans="1:10" ht="36" customHeight="1" x14ac:dyDescent="0.2">
      <c r="A32" s="61">
        <v>28</v>
      </c>
      <c r="B32" s="65" t="s">
        <v>170</v>
      </c>
      <c r="C32" s="2" t="s">
        <v>145</v>
      </c>
      <c r="D32" s="2"/>
      <c r="E32" s="2" t="s">
        <v>24</v>
      </c>
      <c r="F32" s="2" t="s">
        <v>13</v>
      </c>
      <c r="G32" s="2">
        <v>89372057863</v>
      </c>
      <c r="H32" s="2" t="s">
        <v>100</v>
      </c>
      <c r="I32" s="64">
        <v>89221702825</v>
      </c>
    </row>
    <row r="33" spans="1:9" ht="36" customHeight="1" x14ac:dyDescent="0.2">
      <c r="A33" s="61">
        <v>29</v>
      </c>
      <c r="B33" s="65" t="s">
        <v>171</v>
      </c>
      <c r="C33" s="2" t="s">
        <v>145</v>
      </c>
      <c r="D33" s="2"/>
      <c r="E33" s="2" t="s">
        <v>24</v>
      </c>
      <c r="F33" s="2" t="s">
        <v>13</v>
      </c>
      <c r="G33" s="2">
        <v>89372057863</v>
      </c>
      <c r="H33" s="2" t="s">
        <v>100</v>
      </c>
      <c r="I33" s="64">
        <v>89221702825</v>
      </c>
    </row>
    <row r="34" spans="1:9" ht="36" customHeight="1" x14ac:dyDescent="0.2">
      <c r="A34" s="61">
        <v>30</v>
      </c>
      <c r="B34" s="65" t="s">
        <v>172</v>
      </c>
      <c r="C34" s="2" t="s">
        <v>145</v>
      </c>
      <c r="D34" s="2"/>
      <c r="E34" s="2" t="s">
        <v>22</v>
      </c>
      <c r="F34" s="2" t="s">
        <v>152</v>
      </c>
      <c r="G34" s="2">
        <v>89877116501</v>
      </c>
      <c r="H34" s="2" t="s">
        <v>155</v>
      </c>
      <c r="I34" s="64">
        <v>89224136139</v>
      </c>
    </row>
    <row r="35" spans="1:9" ht="36" customHeight="1" x14ac:dyDescent="0.2">
      <c r="A35" s="61">
        <v>31</v>
      </c>
      <c r="B35" s="65" t="s">
        <v>173</v>
      </c>
      <c r="C35" s="2" t="s">
        <v>145</v>
      </c>
      <c r="D35" s="2"/>
      <c r="E35" s="2" t="s">
        <v>22</v>
      </c>
      <c r="F35" s="2" t="s">
        <v>152</v>
      </c>
      <c r="G35" s="2">
        <v>89877116501</v>
      </c>
      <c r="H35" s="2" t="s">
        <v>155</v>
      </c>
      <c r="I35" s="64">
        <v>89224136139</v>
      </c>
    </row>
    <row r="36" spans="1:9" ht="36" customHeight="1" x14ac:dyDescent="0.2">
      <c r="A36" s="61">
        <v>32</v>
      </c>
      <c r="B36" s="65" t="s">
        <v>184</v>
      </c>
      <c r="C36" s="2" t="s">
        <v>145</v>
      </c>
      <c r="D36" s="2"/>
      <c r="E36" s="2" t="s">
        <v>22</v>
      </c>
      <c r="F36" s="2" t="s">
        <v>152</v>
      </c>
      <c r="G36" s="2">
        <v>89877116501</v>
      </c>
      <c r="H36" s="2" t="s">
        <v>155</v>
      </c>
      <c r="I36" s="64">
        <v>89224136139</v>
      </c>
    </row>
    <row r="37" spans="1:9" ht="36" customHeight="1" x14ac:dyDescent="0.2">
      <c r="A37" s="61">
        <v>33</v>
      </c>
      <c r="B37" s="65" t="s">
        <v>174</v>
      </c>
      <c r="C37" s="2" t="s">
        <v>145</v>
      </c>
      <c r="D37" s="2"/>
      <c r="E37" s="2" t="s">
        <v>22</v>
      </c>
      <c r="F37" s="2" t="s">
        <v>141</v>
      </c>
      <c r="G37" s="2">
        <v>89222526211</v>
      </c>
      <c r="H37" s="2" t="s">
        <v>188</v>
      </c>
      <c r="I37" s="64">
        <v>89236830899</v>
      </c>
    </row>
    <row r="38" spans="1:9" ht="36" customHeight="1" x14ac:dyDescent="0.2">
      <c r="A38" s="61">
        <v>34</v>
      </c>
      <c r="B38" s="65" t="s">
        <v>175</v>
      </c>
      <c r="C38" s="2" t="s">
        <v>145</v>
      </c>
      <c r="D38" s="2"/>
      <c r="E38" s="2" t="s">
        <v>22</v>
      </c>
      <c r="F38" s="2" t="s">
        <v>141</v>
      </c>
      <c r="G38" s="2">
        <v>89222526211</v>
      </c>
      <c r="H38" s="2" t="s">
        <v>188</v>
      </c>
      <c r="I38" s="64">
        <v>89236830899</v>
      </c>
    </row>
    <row r="39" spans="1:9" ht="36" customHeight="1" x14ac:dyDescent="0.2">
      <c r="A39" s="70">
        <v>35</v>
      </c>
      <c r="B39" s="71" t="s">
        <v>177</v>
      </c>
      <c r="C39" s="2" t="s">
        <v>145</v>
      </c>
      <c r="D39" s="2"/>
      <c r="E39" s="2" t="s">
        <v>22</v>
      </c>
      <c r="F39" s="74" t="s">
        <v>141</v>
      </c>
      <c r="G39" s="72">
        <v>89222526211</v>
      </c>
      <c r="H39" s="72" t="s">
        <v>188</v>
      </c>
      <c r="I39" s="64">
        <v>89236830899</v>
      </c>
    </row>
    <row r="40" spans="1:9" ht="36" customHeight="1" x14ac:dyDescent="0.2">
      <c r="A40" s="61">
        <v>36</v>
      </c>
      <c r="B40" s="65" t="s">
        <v>154</v>
      </c>
      <c r="C40" s="2" t="s">
        <v>145</v>
      </c>
      <c r="D40" s="2"/>
      <c r="E40" s="2" t="s">
        <v>22</v>
      </c>
      <c r="F40" s="2" t="s">
        <v>141</v>
      </c>
      <c r="G40" s="2">
        <v>89222526211</v>
      </c>
      <c r="H40" s="2" t="s">
        <v>188</v>
      </c>
      <c r="I40" s="64">
        <v>89236830899</v>
      </c>
    </row>
    <row r="41" spans="1:9" ht="36" customHeight="1" x14ac:dyDescent="0.2">
      <c r="A41" s="70">
        <v>37</v>
      </c>
      <c r="B41" s="71" t="s">
        <v>171</v>
      </c>
      <c r="C41" s="72" t="s">
        <v>145</v>
      </c>
      <c r="D41" s="73"/>
      <c r="E41" s="73" t="s">
        <v>22</v>
      </c>
      <c r="F41" s="74" t="s">
        <v>147</v>
      </c>
      <c r="G41" s="72">
        <v>89224753150</v>
      </c>
      <c r="H41" s="72" t="s">
        <v>125</v>
      </c>
      <c r="I41" s="64">
        <v>89327528044</v>
      </c>
    </row>
    <row r="42" spans="1:9" ht="36" customHeight="1" x14ac:dyDescent="0.2">
      <c r="A42" s="61">
        <v>38</v>
      </c>
      <c r="B42" s="65" t="s">
        <v>3</v>
      </c>
      <c r="C42" s="2" t="s">
        <v>145</v>
      </c>
      <c r="D42" s="2"/>
      <c r="E42" s="2" t="s">
        <v>42</v>
      </c>
      <c r="F42" s="2" t="s">
        <v>159</v>
      </c>
      <c r="G42" s="2">
        <v>89223997294</v>
      </c>
      <c r="H42" s="2"/>
      <c r="I42" s="64" t="s">
        <v>118</v>
      </c>
    </row>
    <row r="43" spans="1:9" ht="36" customHeight="1" x14ac:dyDescent="0.2">
      <c r="A43" s="70">
        <v>39</v>
      </c>
      <c r="B43" s="71" t="s">
        <v>3</v>
      </c>
      <c r="C43" s="72" t="s">
        <v>114</v>
      </c>
      <c r="D43" s="73"/>
      <c r="E43" s="73" t="s">
        <v>44</v>
      </c>
      <c r="F43" s="74" t="s">
        <v>178</v>
      </c>
      <c r="G43" s="72">
        <v>89323200603</v>
      </c>
      <c r="H43" s="72" t="s">
        <v>100</v>
      </c>
      <c r="I43" s="64">
        <v>89221702825</v>
      </c>
    </row>
    <row r="44" spans="1:9" ht="36" customHeight="1" x14ac:dyDescent="0.2">
      <c r="A44" s="61">
        <v>40</v>
      </c>
      <c r="B44" s="65" t="s">
        <v>3</v>
      </c>
      <c r="C44" s="2" t="s">
        <v>114</v>
      </c>
      <c r="D44" s="2"/>
      <c r="E44" s="2" t="s">
        <v>130</v>
      </c>
      <c r="F44" s="2" t="s">
        <v>104</v>
      </c>
      <c r="G44" s="2">
        <v>89081175443</v>
      </c>
      <c r="H44" s="2"/>
      <c r="I44" s="2" t="s">
        <v>118</v>
      </c>
    </row>
    <row r="45" spans="1:9" ht="36" customHeight="1" x14ac:dyDescent="0.2">
      <c r="A45" s="70">
        <v>41</v>
      </c>
      <c r="B45" s="71" t="s">
        <v>3</v>
      </c>
      <c r="C45" s="72" t="s">
        <v>114</v>
      </c>
      <c r="D45" s="73"/>
      <c r="E45" s="73" t="s">
        <v>44</v>
      </c>
      <c r="F45" s="74" t="s">
        <v>111</v>
      </c>
      <c r="G45" s="72">
        <v>89320953120</v>
      </c>
      <c r="H45" s="72" t="s">
        <v>51</v>
      </c>
      <c r="I45" s="64">
        <v>89324874982</v>
      </c>
    </row>
    <row r="46" spans="1:9" x14ac:dyDescent="0.2">
      <c r="A46" s="61">
        <v>42</v>
      </c>
      <c r="B46" s="65" t="s">
        <v>3</v>
      </c>
      <c r="C46" s="2" t="s">
        <v>113</v>
      </c>
      <c r="D46" s="2"/>
      <c r="E46" s="2" t="s">
        <v>43</v>
      </c>
      <c r="F46" s="2" t="s">
        <v>58</v>
      </c>
      <c r="G46" s="2">
        <v>89220402700</v>
      </c>
      <c r="H46" s="2"/>
      <c r="I46" s="2" t="s">
        <v>118</v>
      </c>
    </row>
    <row r="47" spans="1:9" ht="36" x14ac:dyDescent="0.2">
      <c r="A47" s="70">
        <v>43</v>
      </c>
      <c r="B47" s="71" t="s">
        <v>3</v>
      </c>
      <c r="C47" s="72" t="s">
        <v>145</v>
      </c>
      <c r="D47" s="73"/>
      <c r="E47" s="73" t="s">
        <v>27</v>
      </c>
      <c r="F47" s="74" t="s">
        <v>70</v>
      </c>
      <c r="G47" s="72">
        <v>89934121384</v>
      </c>
      <c r="H47" s="72" t="s">
        <v>70</v>
      </c>
      <c r="I47" s="64">
        <v>89934121384</v>
      </c>
    </row>
    <row r="48" spans="1:9" x14ac:dyDescent="0.2">
      <c r="A48" s="61">
        <v>44</v>
      </c>
      <c r="B48" s="65" t="s">
        <v>3</v>
      </c>
      <c r="C48" s="2" t="s">
        <v>116</v>
      </c>
      <c r="D48" s="2"/>
      <c r="E48" s="2" t="s">
        <v>45</v>
      </c>
      <c r="F48" s="2" t="s">
        <v>150</v>
      </c>
      <c r="G48" s="2">
        <v>89207560944</v>
      </c>
      <c r="H48" s="2"/>
      <c r="I48" s="2" t="s">
        <v>118</v>
      </c>
    </row>
    <row r="49" spans="1:9" x14ac:dyDescent="0.2">
      <c r="A49" s="70">
        <v>45</v>
      </c>
      <c r="B49" s="71" t="s">
        <v>3</v>
      </c>
      <c r="C49" s="2" t="s">
        <v>115</v>
      </c>
      <c r="D49" s="73"/>
      <c r="E49" s="73" t="s">
        <v>98</v>
      </c>
      <c r="F49" s="74" t="s">
        <v>72</v>
      </c>
      <c r="G49" s="72">
        <v>89220712164</v>
      </c>
      <c r="H49" s="72"/>
      <c r="I49" s="64" t="s">
        <v>118</v>
      </c>
    </row>
    <row r="50" spans="1:9" x14ac:dyDescent="0.2">
      <c r="A50" s="61">
        <v>46</v>
      </c>
      <c r="B50" s="65" t="s">
        <v>3</v>
      </c>
      <c r="C50" s="2" t="s">
        <v>115</v>
      </c>
      <c r="D50" s="2"/>
      <c r="E50" s="2" t="s">
        <v>97</v>
      </c>
      <c r="F50" s="2" t="s">
        <v>20</v>
      </c>
      <c r="G50" s="2">
        <v>89233641590</v>
      </c>
      <c r="H50" s="2"/>
      <c r="I50" s="2" t="s">
        <v>118</v>
      </c>
    </row>
    <row r="51" spans="1:9" x14ac:dyDescent="0.2">
      <c r="A51" s="70">
        <v>47</v>
      </c>
      <c r="B51" s="71" t="s">
        <v>3</v>
      </c>
      <c r="C51" s="73" t="s">
        <v>115</v>
      </c>
      <c r="D51" s="73"/>
      <c r="E51" s="73" t="s">
        <v>97</v>
      </c>
      <c r="F51" s="74" t="s">
        <v>128</v>
      </c>
      <c r="G51" s="72">
        <v>89963218760</v>
      </c>
      <c r="H51" s="72"/>
      <c r="I51" s="64" t="s">
        <v>118</v>
      </c>
    </row>
    <row r="52" spans="1:9" x14ac:dyDescent="0.2">
      <c r="A52" s="61">
        <v>48</v>
      </c>
      <c r="B52" s="65" t="s">
        <v>3</v>
      </c>
      <c r="C52" s="2" t="s">
        <v>115</v>
      </c>
      <c r="D52" s="2"/>
      <c r="E52" s="2" t="s">
        <v>97</v>
      </c>
      <c r="F52" s="2" t="s">
        <v>101</v>
      </c>
      <c r="G52" s="2">
        <v>89695192336</v>
      </c>
      <c r="H52" s="2"/>
      <c r="I52" s="2" t="s">
        <v>118</v>
      </c>
    </row>
    <row r="53" spans="1:9" x14ac:dyDescent="0.2">
      <c r="A53" s="61">
        <v>49</v>
      </c>
      <c r="B53" s="65" t="s">
        <v>3</v>
      </c>
      <c r="C53" s="2" t="s">
        <v>115</v>
      </c>
      <c r="D53" s="2"/>
      <c r="E53" s="2" t="s">
        <v>97</v>
      </c>
      <c r="F53" s="2" t="s">
        <v>21</v>
      </c>
      <c r="G53" s="2">
        <v>89523497889</v>
      </c>
      <c r="H53" s="2"/>
      <c r="I53" s="2" t="s">
        <v>118</v>
      </c>
    </row>
    <row r="54" spans="1:9" x14ac:dyDescent="0.2">
      <c r="A54" s="70">
        <v>50</v>
      </c>
      <c r="B54" s="71" t="s">
        <v>3</v>
      </c>
      <c r="C54" s="2" t="s">
        <v>115</v>
      </c>
      <c r="D54" s="73"/>
      <c r="E54" s="73" t="s">
        <v>71</v>
      </c>
      <c r="F54" s="74" t="s">
        <v>68</v>
      </c>
      <c r="G54" s="2">
        <v>89969467010</v>
      </c>
      <c r="H54" s="2"/>
      <c r="I54" s="2" t="s">
        <v>118</v>
      </c>
    </row>
    <row r="55" spans="1:9" x14ac:dyDescent="0.2">
      <c r="A55" s="61">
        <v>51</v>
      </c>
      <c r="B55" s="65" t="s">
        <v>3</v>
      </c>
      <c r="C55" s="73" t="s">
        <v>115</v>
      </c>
      <c r="D55" s="2"/>
      <c r="E55" s="2" t="s">
        <v>96</v>
      </c>
      <c r="F55" s="2" t="s">
        <v>107</v>
      </c>
      <c r="G55" s="73">
        <v>89224050562</v>
      </c>
      <c r="H55" s="73"/>
      <c r="I55" s="73" t="s">
        <v>118</v>
      </c>
    </row>
    <row r="56" spans="1:9" x14ac:dyDescent="0.2">
      <c r="A56" s="61">
        <v>52</v>
      </c>
      <c r="B56" s="65" t="s">
        <v>3</v>
      </c>
      <c r="C56" s="2" t="s">
        <v>115</v>
      </c>
      <c r="D56" s="2"/>
      <c r="E56" s="2" t="s">
        <v>96</v>
      </c>
      <c r="F56" s="2" t="s">
        <v>73</v>
      </c>
      <c r="G56" s="2">
        <v>89129206469</v>
      </c>
      <c r="H56" s="2"/>
      <c r="I56" s="2" t="s">
        <v>118</v>
      </c>
    </row>
    <row r="57" spans="1:9" x14ac:dyDescent="0.2">
      <c r="A57" s="70">
        <v>53</v>
      </c>
      <c r="B57" s="71" t="s">
        <v>3</v>
      </c>
      <c r="C57" s="2" t="s">
        <v>115</v>
      </c>
      <c r="D57" s="73"/>
      <c r="E57" s="73" t="s">
        <v>96</v>
      </c>
      <c r="F57" s="74" t="s">
        <v>63</v>
      </c>
      <c r="G57" s="2">
        <v>89091854445</v>
      </c>
      <c r="H57" s="2"/>
      <c r="I57" s="2" t="s">
        <v>118</v>
      </c>
    </row>
    <row r="58" spans="1:9" x14ac:dyDescent="0.2">
      <c r="A58" s="61">
        <v>54</v>
      </c>
      <c r="B58" s="65" t="s">
        <v>3</v>
      </c>
      <c r="C58" s="2" t="s">
        <v>115</v>
      </c>
      <c r="D58" s="2"/>
      <c r="E58" s="2" t="s">
        <v>96</v>
      </c>
      <c r="F58" s="2" t="s">
        <v>64</v>
      </c>
      <c r="G58" s="2">
        <v>89129240099</v>
      </c>
      <c r="H58" s="2"/>
      <c r="I58" s="2" t="s">
        <v>118</v>
      </c>
    </row>
    <row r="59" spans="1:9" ht="36" x14ac:dyDescent="0.2">
      <c r="A59" s="61">
        <v>55</v>
      </c>
      <c r="B59" s="65" t="s">
        <v>3</v>
      </c>
      <c r="C59" s="73" t="s">
        <v>145</v>
      </c>
      <c r="D59" s="2"/>
      <c r="E59" s="2" t="s">
        <v>26</v>
      </c>
      <c r="F59" s="2" t="s">
        <v>108</v>
      </c>
      <c r="G59" s="2">
        <v>89323204735</v>
      </c>
      <c r="H59" s="2" t="s">
        <v>51</v>
      </c>
      <c r="I59" s="2">
        <v>89324874982</v>
      </c>
    </row>
    <row r="60" spans="1:9" ht="24" x14ac:dyDescent="0.2">
      <c r="A60" s="70">
        <v>56</v>
      </c>
      <c r="B60" s="71" t="s">
        <v>3</v>
      </c>
      <c r="C60" s="2" t="s">
        <v>144</v>
      </c>
      <c r="D60" s="73"/>
      <c r="E60" s="73" t="s">
        <v>143</v>
      </c>
      <c r="F60" s="74" t="s">
        <v>8</v>
      </c>
      <c r="G60" s="2">
        <v>89323205078</v>
      </c>
      <c r="H60" s="2" t="s">
        <v>8</v>
      </c>
      <c r="I60" s="2">
        <v>89323205078</v>
      </c>
    </row>
    <row r="61" spans="1:9" x14ac:dyDescent="0.2">
      <c r="A61" s="70"/>
      <c r="B61" s="75" t="s">
        <v>120</v>
      </c>
      <c r="C61" s="76">
        <v>37</v>
      </c>
      <c r="D61" s="73"/>
      <c r="E61" s="73"/>
      <c r="F61" s="74"/>
      <c r="G61" s="74"/>
      <c r="H61" s="74"/>
      <c r="I61" s="74"/>
    </row>
    <row r="62" spans="1:9" x14ac:dyDescent="0.2">
      <c r="A62" s="70"/>
      <c r="B62" s="75" t="s">
        <v>121</v>
      </c>
      <c r="C62" s="76">
        <v>37</v>
      </c>
      <c r="D62" s="73"/>
      <c r="E62" s="73"/>
      <c r="F62" s="74"/>
      <c r="G62" s="2"/>
      <c r="H62" s="2"/>
      <c r="I62" s="2"/>
    </row>
  </sheetData>
  <autoFilter ref="A2:I2" xr:uid="{00000000-0001-0000-0000-000000000000}">
    <filterColumn colId="7" showButton="0"/>
  </autoFilter>
  <dataConsolidate/>
  <mergeCells count="1">
    <mergeCell ref="H2:I2"/>
  </mergeCells>
  <phoneticPr fontId="11" type="noConversion"/>
  <pageMargins left="0.7" right="0.7" top="0.75" bottom="0.75" header="0.3" footer="0.3"/>
  <pageSetup paperSize="9" scale="3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Запуск_всех_шагов">
                <anchor moveWithCells="1" sizeWithCells="1">
                  <from>
                    <xdr:col>10</xdr:col>
                    <xdr:colOff>66675</xdr:colOff>
                    <xdr:row>1</xdr:row>
                    <xdr:rowOff>476250</xdr:rowOff>
                  </from>
                  <to>
                    <xdr:col>10</xdr:col>
                    <xdr:colOff>1409700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F5295-43B0-4B43-A89A-A3CF76F062DF}">
  <sheetPr codeName="Лист2"/>
  <dimension ref="A1:B17"/>
  <sheetViews>
    <sheetView workbookViewId="0">
      <selection activeCell="A9" sqref="A9"/>
    </sheetView>
  </sheetViews>
  <sheetFormatPr defaultRowHeight="15" x14ac:dyDescent="0.25"/>
  <cols>
    <col min="1" max="1" width="63.42578125" bestFit="1" customWidth="1"/>
    <col min="2" max="2" width="13.85546875" bestFit="1" customWidth="1"/>
  </cols>
  <sheetData>
    <row r="1" spans="1:2" x14ac:dyDescent="0.25">
      <c r="A1" t="s">
        <v>40</v>
      </c>
      <c r="B1" t="s">
        <v>87</v>
      </c>
    </row>
    <row r="2" spans="1:2" x14ac:dyDescent="0.25">
      <c r="A2" t="s">
        <v>24</v>
      </c>
      <c r="B2">
        <v>3</v>
      </c>
    </row>
    <row r="3" spans="1:2" x14ac:dyDescent="0.25">
      <c r="A3" t="s">
        <v>22</v>
      </c>
      <c r="B3">
        <v>13</v>
      </c>
    </row>
    <row r="4" spans="1:2" x14ac:dyDescent="0.25">
      <c r="A4" t="s">
        <v>37</v>
      </c>
      <c r="B4">
        <v>2</v>
      </c>
    </row>
    <row r="5" spans="1:2" x14ac:dyDescent="0.25">
      <c r="A5" t="s">
        <v>42</v>
      </c>
      <c r="B5">
        <v>1</v>
      </c>
    </row>
    <row r="6" spans="1:2" x14ac:dyDescent="0.25">
      <c r="A6" t="s">
        <v>44</v>
      </c>
      <c r="B6">
        <v>2</v>
      </c>
    </row>
    <row r="7" spans="1:2" x14ac:dyDescent="0.25">
      <c r="A7" t="s">
        <v>130</v>
      </c>
      <c r="B7">
        <v>1</v>
      </c>
    </row>
    <row r="8" spans="1:2" x14ac:dyDescent="0.25">
      <c r="A8" t="s">
        <v>43</v>
      </c>
      <c r="B8">
        <v>1</v>
      </c>
    </row>
    <row r="9" spans="1:2" x14ac:dyDescent="0.25">
      <c r="A9" t="s">
        <v>27</v>
      </c>
      <c r="B9">
        <v>1</v>
      </c>
    </row>
    <row r="10" spans="1:2" x14ac:dyDescent="0.25">
      <c r="A10" t="s">
        <v>45</v>
      </c>
      <c r="B10">
        <v>1</v>
      </c>
    </row>
    <row r="11" spans="1:2" x14ac:dyDescent="0.25">
      <c r="A11" t="s">
        <v>98</v>
      </c>
      <c r="B11">
        <v>1</v>
      </c>
    </row>
    <row r="12" spans="1:2" x14ac:dyDescent="0.25">
      <c r="A12" t="s">
        <v>97</v>
      </c>
      <c r="B12">
        <v>4</v>
      </c>
    </row>
    <row r="13" spans="1:2" x14ac:dyDescent="0.25">
      <c r="A13" t="s">
        <v>71</v>
      </c>
      <c r="B13">
        <v>1</v>
      </c>
    </row>
    <row r="14" spans="1:2" x14ac:dyDescent="0.25">
      <c r="A14" t="s">
        <v>96</v>
      </c>
      <c r="B14">
        <v>4</v>
      </c>
    </row>
    <row r="15" spans="1:2" x14ac:dyDescent="0.25">
      <c r="A15" t="s">
        <v>26</v>
      </c>
      <c r="B15">
        <v>1</v>
      </c>
    </row>
    <row r="16" spans="1:2" x14ac:dyDescent="0.25">
      <c r="A16" t="s">
        <v>143</v>
      </c>
      <c r="B16">
        <v>1</v>
      </c>
    </row>
    <row r="17" spans="2:2" x14ac:dyDescent="0.25">
      <c r="B17">
        <f>SUBTOTAL(109,Персонал[Количество])</f>
        <v>37</v>
      </c>
    </row>
  </sheetData>
  <dataConsolidate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CC18-321D-428B-BAAF-011CF56E229A}">
  <sheetPr codeName="Лист3"/>
  <dimension ref="A1:B39"/>
  <sheetViews>
    <sheetView topLeftCell="A13" workbookViewId="0">
      <selection activeCell="A21" sqref="A21"/>
    </sheetView>
  </sheetViews>
  <sheetFormatPr defaultRowHeight="15" x14ac:dyDescent="0.25"/>
  <cols>
    <col min="1" max="1" width="33.85546875" bestFit="1" customWidth="1"/>
    <col min="2" max="2" width="13.85546875" bestFit="1" customWidth="1"/>
  </cols>
  <sheetData>
    <row r="1" spans="1:2" x14ac:dyDescent="0.25">
      <c r="A1" t="s">
        <v>83</v>
      </c>
      <c r="B1" t="s">
        <v>87</v>
      </c>
    </row>
    <row r="2" spans="1:2" x14ac:dyDescent="0.25">
      <c r="A2" t="s">
        <v>73</v>
      </c>
      <c r="B2">
        <v>1</v>
      </c>
    </row>
    <row r="3" spans="1:2" x14ac:dyDescent="0.25">
      <c r="A3" t="s">
        <v>128</v>
      </c>
      <c r="B3">
        <v>1</v>
      </c>
    </row>
    <row r="4" spans="1:2" x14ac:dyDescent="0.25">
      <c r="A4" t="s">
        <v>8</v>
      </c>
      <c r="B4">
        <v>1</v>
      </c>
    </row>
    <row r="5" spans="1:2" x14ac:dyDescent="0.25">
      <c r="A5" t="s">
        <v>70</v>
      </c>
      <c r="B5">
        <v>1</v>
      </c>
    </row>
    <row r="6" spans="1:2" x14ac:dyDescent="0.25">
      <c r="A6" t="s">
        <v>95</v>
      </c>
      <c r="B6">
        <v>3</v>
      </c>
    </row>
    <row r="7" spans="1:2" x14ac:dyDescent="0.25">
      <c r="A7" t="s">
        <v>133</v>
      </c>
      <c r="B7">
        <v>2</v>
      </c>
    </row>
    <row r="8" spans="1:2" x14ac:dyDescent="0.25">
      <c r="A8" t="s">
        <v>108</v>
      </c>
      <c r="B8">
        <v>1</v>
      </c>
    </row>
    <row r="9" spans="1:2" x14ac:dyDescent="0.25">
      <c r="A9" t="s">
        <v>63</v>
      </c>
      <c r="B9">
        <v>1</v>
      </c>
    </row>
    <row r="10" spans="1:2" x14ac:dyDescent="0.25">
      <c r="A10" t="s">
        <v>178</v>
      </c>
      <c r="B10">
        <v>1</v>
      </c>
    </row>
    <row r="11" spans="1:2" x14ac:dyDescent="0.25">
      <c r="A11" t="s">
        <v>14</v>
      </c>
      <c r="B11">
        <v>1</v>
      </c>
    </row>
    <row r="12" spans="1:2" x14ac:dyDescent="0.25">
      <c r="A12" t="s">
        <v>180</v>
      </c>
      <c r="B12">
        <v>2</v>
      </c>
    </row>
    <row r="13" spans="1:2" x14ac:dyDescent="0.25">
      <c r="A13" t="s">
        <v>58</v>
      </c>
      <c r="B13">
        <v>1</v>
      </c>
    </row>
    <row r="14" spans="1:2" x14ac:dyDescent="0.25">
      <c r="A14" t="s">
        <v>147</v>
      </c>
      <c r="B14">
        <v>1</v>
      </c>
    </row>
    <row r="15" spans="1:2" x14ac:dyDescent="0.25">
      <c r="A15" t="s">
        <v>111</v>
      </c>
      <c r="B15">
        <v>1</v>
      </c>
    </row>
    <row r="16" spans="1:2" x14ac:dyDescent="0.25">
      <c r="A16" t="s">
        <v>20</v>
      </c>
      <c r="B16">
        <v>1</v>
      </c>
    </row>
    <row r="17" spans="1:2" x14ac:dyDescent="0.25">
      <c r="A17" t="s">
        <v>153</v>
      </c>
      <c r="B17">
        <v>3</v>
      </c>
    </row>
    <row r="18" spans="1:2" x14ac:dyDescent="0.25">
      <c r="A18" t="s">
        <v>65</v>
      </c>
      <c r="B18">
        <v>1</v>
      </c>
    </row>
    <row r="19" spans="1:2" x14ac:dyDescent="0.25">
      <c r="A19" t="s">
        <v>104</v>
      </c>
      <c r="B19">
        <v>1</v>
      </c>
    </row>
    <row r="20" spans="1:2" x14ac:dyDescent="0.25">
      <c r="A20" t="s">
        <v>72</v>
      </c>
      <c r="B20">
        <v>1</v>
      </c>
    </row>
    <row r="21" spans="1:2" x14ac:dyDescent="0.25">
      <c r="A21" t="s">
        <v>9</v>
      </c>
      <c r="B21">
        <v>2</v>
      </c>
    </row>
    <row r="22" spans="1:2" x14ac:dyDescent="0.25">
      <c r="A22" t="s">
        <v>64</v>
      </c>
      <c r="B22">
        <v>1</v>
      </c>
    </row>
    <row r="23" spans="1:2" x14ac:dyDescent="0.25">
      <c r="A23" t="s">
        <v>12</v>
      </c>
      <c r="B23">
        <v>2</v>
      </c>
    </row>
    <row r="24" spans="1:2" x14ac:dyDescent="0.25">
      <c r="A24" t="s">
        <v>140</v>
      </c>
      <c r="B24">
        <v>2</v>
      </c>
    </row>
    <row r="25" spans="1:2" x14ac:dyDescent="0.25">
      <c r="A25" t="s">
        <v>101</v>
      </c>
      <c r="B25">
        <v>1</v>
      </c>
    </row>
    <row r="26" spans="1:2" x14ac:dyDescent="0.25">
      <c r="A26" t="s">
        <v>21</v>
      </c>
      <c r="B26">
        <v>1</v>
      </c>
    </row>
    <row r="27" spans="1:2" x14ac:dyDescent="0.25">
      <c r="A27" t="s">
        <v>129</v>
      </c>
      <c r="B27">
        <v>2</v>
      </c>
    </row>
    <row r="28" spans="1:2" x14ac:dyDescent="0.25">
      <c r="A28" t="s">
        <v>10</v>
      </c>
      <c r="B28">
        <v>2</v>
      </c>
    </row>
    <row r="29" spans="1:2" x14ac:dyDescent="0.25">
      <c r="A29" t="s">
        <v>148</v>
      </c>
      <c r="B29">
        <v>2</v>
      </c>
    </row>
    <row r="30" spans="1:2" x14ac:dyDescent="0.25">
      <c r="A30" t="s">
        <v>150</v>
      </c>
      <c r="B30">
        <v>1</v>
      </c>
    </row>
    <row r="31" spans="1:2" x14ac:dyDescent="0.25">
      <c r="A31" t="s">
        <v>68</v>
      </c>
      <c r="B31">
        <v>1</v>
      </c>
    </row>
    <row r="32" spans="1:2" x14ac:dyDescent="0.25">
      <c r="A32" t="s">
        <v>182</v>
      </c>
      <c r="B32">
        <v>1</v>
      </c>
    </row>
    <row r="33" spans="1:2" x14ac:dyDescent="0.25">
      <c r="A33" t="s">
        <v>15</v>
      </c>
      <c r="B33">
        <v>2</v>
      </c>
    </row>
    <row r="34" spans="1:2" x14ac:dyDescent="0.25">
      <c r="A34" t="s">
        <v>107</v>
      </c>
      <c r="B34">
        <v>1</v>
      </c>
    </row>
    <row r="35" spans="1:2" x14ac:dyDescent="0.25">
      <c r="A35" t="s">
        <v>159</v>
      </c>
      <c r="B35">
        <v>1</v>
      </c>
    </row>
    <row r="36" spans="1:2" x14ac:dyDescent="0.25">
      <c r="A36" t="s">
        <v>13</v>
      </c>
      <c r="B36">
        <v>2</v>
      </c>
    </row>
    <row r="37" spans="1:2" x14ac:dyDescent="0.25">
      <c r="A37" t="s">
        <v>152</v>
      </c>
      <c r="B37">
        <v>3</v>
      </c>
    </row>
    <row r="38" spans="1:2" x14ac:dyDescent="0.25">
      <c r="A38" t="s">
        <v>141</v>
      </c>
      <c r="B38">
        <v>4</v>
      </c>
    </row>
    <row r="39" spans="1:2" x14ac:dyDescent="0.25">
      <c r="A39">
        <f>SUBTOTAL(103,Таблица2_2[Столбец6])</f>
        <v>37</v>
      </c>
      <c r="B39">
        <f>SUBTOTAL(109,Таблица2_2[Количество])</f>
        <v>56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3:H128"/>
  <sheetViews>
    <sheetView topLeftCell="A61" zoomScaleNormal="100" workbookViewId="0">
      <selection activeCell="E83" sqref="E83"/>
    </sheetView>
  </sheetViews>
  <sheetFormatPr defaultRowHeight="15" x14ac:dyDescent="0.25"/>
  <cols>
    <col min="1" max="1" width="15.7109375" customWidth="1"/>
    <col min="3" max="3" width="33.42578125" customWidth="1"/>
    <col min="4" max="4" width="24.42578125" customWidth="1"/>
    <col min="5" max="5" width="61.42578125" style="15" customWidth="1"/>
    <col min="6" max="6" width="58.85546875" bestFit="1" customWidth="1"/>
    <col min="7" max="7" width="32" customWidth="1"/>
    <col min="8" max="8" width="16.28515625" customWidth="1"/>
  </cols>
  <sheetData>
    <row r="3" spans="1:8" x14ac:dyDescent="0.25">
      <c r="F3" t="s">
        <v>7</v>
      </c>
    </row>
    <row r="4" spans="1:8" x14ac:dyDescent="0.25">
      <c r="A4" t="s">
        <v>6</v>
      </c>
      <c r="G4" t="s">
        <v>54</v>
      </c>
      <c r="H4" t="s">
        <v>55</v>
      </c>
    </row>
    <row r="5" spans="1:8" x14ac:dyDescent="0.25">
      <c r="C5" s="13" t="s">
        <v>8</v>
      </c>
      <c r="D5" s="2">
        <v>89323205078</v>
      </c>
      <c r="E5" s="13" t="s">
        <v>143</v>
      </c>
      <c r="F5" s="66" t="s">
        <v>144</v>
      </c>
      <c r="G5" t="s">
        <v>8</v>
      </c>
      <c r="H5">
        <f>IFERROR(VLOOKUP(G5,Водители!$B$3:$C$39,2,FALSE),"-")</f>
        <v>89323205078</v>
      </c>
    </row>
    <row r="6" spans="1:8" x14ac:dyDescent="0.25">
      <c r="C6" s="10"/>
      <c r="D6" s="10"/>
      <c r="E6" s="13"/>
      <c r="F6" s="66" t="s">
        <v>145</v>
      </c>
      <c r="H6" t="str">
        <f>IFERROR(VLOOKUP(G6,Водители!$B$3:$C$39,2,FALSE),"-")</f>
        <v>-</v>
      </c>
    </row>
    <row r="7" spans="1:8" x14ac:dyDescent="0.25">
      <c r="A7" t="s">
        <v>22</v>
      </c>
      <c r="C7" s="10" t="s">
        <v>39</v>
      </c>
      <c r="D7" s="10" t="s">
        <v>2</v>
      </c>
      <c r="E7" s="15" t="s">
        <v>40</v>
      </c>
      <c r="F7" t="s">
        <v>41</v>
      </c>
      <c r="H7" t="str">
        <f>IFERROR(VLOOKUP(G7,Водители!$B$3:$C$39,2,FALSE),"-")</f>
        <v>-</v>
      </c>
    </row>
    <row r="8" spans="1:8" x14ac:dyDescent="0.25">
      <c r="C8" s="10" t="s">
        <v>9</v>
      </c>
      <c r="D8" s="10">
        <v>89277358204</v>
      </c>
      <c r="E8" s="15" t="s">
        <v>22</v>
      </c>
      <c r="F8" s="66" t="s">
        <v>145</v>
      </c>
      <c r="G8" t="s">
        <v>188</v>
      </c>
      <c r="H8">
        <f>IFERROR(VLOOKUP(G8,Водители!$B$3:$C$39,2,FALSE),"-")</f>
        <v>89236830899</v>
      </c>
    </row>
    <row r="9" spans="1:8" x14ac:dyDescent="0.25">
      <c r="C9" s="11" t="s">
        <v>105</v>
      </c>
      <c r="D9" s="11">
        <v>89374801050</v>
      </c>
      <c r="E9" s="15" t="s">
        <v>22</v>
      </c>
      <c r="F9" s="66" t="s">
        <v>145</v>
      </c>
      <c r="G9" t="s">
        <v>156</v>
      </c>
      <c r="H9">
        <f>IFERROR(VLOOKUP(G9,Водители!$B$3:$C$39,2,FALSE),"-")</f>
        <v>89220006159</v>
      </c>
    </row>
    <row r="10" spans="1:8" x14ac:dyDescent="0.25">
      <c r="C10" s="2" t="s">
        <v>140</v>
      </c>
      <c r="D10" s="58">
        <v>89225472248</v>
      </c>
      <c r="E10" s="15" t="s">
        <v>22</v>
      </c>
      <c r="F10" s="66" t="s">
        <v>145</v>
      </c>
      <c r="G10" t="s">
        <v>156</v>
      </c>
      <c r="H10">
        <f>IFERROR(VLOOKUP(G10,Водители!$B$3:$C$39,2,FALSE),"-")</f>
        <v>89220006159</v>
      </c>
    </row>
    <row r="11" spans="1:8" x14ac:dyDescent="0.25">
      <c r="C11" s="2" t="s">
        <v>129</v>
      </c>
      <c r="D11" s="4">
        <v>89223958724</v>
      </c>
      <c r="E11" s="15" t="s">
        <v>22</v>
      </c>
      <c r="F11" s="66" t="s">
        <v>145</v>
      </c>
      <c r="G11" t="s">
        <v>100</v>
      </c>
      <c r="H11">
        <f>IFERROR(VLOOKUP(G11,Водители!$B$3:$C$39,2,FALSE),"-")</f>
        <v>89221702825</v>
      </c>
    </row>
    <row r="12" spans="1:8" x14ac:dyDescent="0.25">
      <c r="C12" s="11" t="s">
        <v>59</v>
      </c>
      <c r="D12" s="4">
        <v>89292480547</v>
      </c>
      <c r="E12" s="15" t="s">
        <v>22</v>
      </c>
      <c r="F12" s="66" t="s">
        <v>145</v>
      </c>
      <c r="G12" t="s">
        <v>100</v>
      </c>
      <c r="H12">
        <f>IFERROR(VLOOKUP(G12,Водители!$B$3:$C$39,2,FALSE),"-")</f>
        <v>89221702825</v>
      </c>
    </row>
    <row r="13" spans="1:8" x14ac:dyDescent="0.25">
      <c r="C13" s="2" t="s">
        <v>65</v>
      </c>
      <c r="D13" s="4">
        <v>89232966546</v>
      </c>
      <c r="E13" s="15" t="s">
        <v>22</v>
      </c>
      <c r="F13" s="66" t="s">
        <v>145</v>
      </c>
      <c r="G13" t="s">
        <v>100</v>
      </c>
      <c r="H13">
        <f>IFERROR(VLOOKUP(G13,Водители!$B$3:$C$39,2,FALSE),"-")</f>
        <v>89221702825</v>
      </c>
    </row>
    <row r="14" spans="1:8" x14ac:dyDescent="0.25">
      <c r="C14" s="2" t="s">
        <v>182</v>
      </c>
      <c r="D14" s="4">
        <v>89179539291</v>
      </c>
      <c r="E14" s="15" t="s">
        <v>22</v>
      </c>
      <c r="F14" s="66" t="s">
        <v>145</v>
      </c>
      <c r="G14" t="s">
        <v>51</v>
      </c>
      <c r="H14">
        <f>IFERROR(VLOOKUP(G14,Водители!$B$3:$C$39,2,FALSE),"-")</f>
        <v>89324874982</v>
      </c>
    </row>
    <row r="15" spans="1:8" x14ac:dyDescent="0.25">
      <c r="C15" s="2" t="s">
        <v>12</v>
      </c>
      <c r="D15" s="2">
        <v>89371625502</v>
      </c>
      <c r="E15" s="15" t="s">
        <v>22</v>
      </c>
      <c r="F15" s="66" t="s">
        <v>145</v>
      </c>
      <c r="G15" t="s">
        <v>12</v>
      </c>
      <c r="H15">
        <f>IFERROR(VLOOKUP(G15,Водители!$B$3:$C$39,2,FALSE),"-")</f>
        <v>89371625502</v>
      </c>
    </row>
    <row r="16" spans="1:8" x14ac:dyDescent="0.25">
      <c r="C16" s="2" t="s">
        <v>138</v>
      </c>
      <c r="D16" s="2">
        <v>89292520123</v>
      </c>
      <c r="E16" s="15" t="s">
        <v>22</v>
      </c>
      <c r="F16" s="66" t="s">
        <v>145</v>
      </c>
      <c r="G16" t="s">
        <v>136</v>
      </c>
      <c r="H16">
        <f>IFERROR(VLOOKUP(G16,Водители!$B$3:$C$39,2,FALSE),"-")</f>
        <v>89149348691</v>
      </c>
    </row>
    <row r="17" spans="1:8" x14ac:dyDescent="0.25">
      <c r="C17" s="2" t="s">
        <v>10</v>
      </c>
      <c r="D17" s="4">
        <v>89875874363</v>
      </c>
      <c r="E17" s="15" t="s">
        <v>22</v>
      </c>
      <c r="F17" s="66" t="s">
        <v>145</v>
      </c>
      <c r="G17" t="s">
        <v>10</v>
      </c>
      <c r="H17">
        <f>IFERROR(VLOOKUP(G17,Водители!$B$3:$C$39,2,FALSE),"-")</f>
        <v>89875874363</v>
      </c>
    </row>
    <row r="18" spans="1:8" x14ac:dyDescent="0.25">
      <c r="C18" s="2" t="s">
        <v>133</v>
      </c>
      <c r="D18" s="4">
        <v>89821711615</v>
      </c>
      <c r="E18" s="15" t="s">
        <v>22</v>
      </c>
      <c r="F18" s="66" t="s">
        <v>145</v>
      </c>
      <c r="G18" t="s">
        <v>188</v>
      </c>
      <c r="H18">
        <f>IFERROR(VLOOKUP(G18,Водители!$B$3:$C$39,2,FALSE),"-")</f>
        <v>89236830899</v>
      </c>
    </row>
    <row r="19" spans="1:8" x14ac:dyDescent="0.25">
      <c r="C19" s="2" t="s">
        <v>141</v>
      </c>
      <c r="D19" s="4">
        <v>89222526211</v>
      </c>
      <c r="E19" s="15" t="s">
        <v>22</v>
      </c>
      <c r="F19" s="66" t="s">
        <v>145</v>
      </c>
      <c r="G19" t="s">
        <v>188</v>
      </c>
      <c r="H19">
        <f>IFERROR(VLOOKUP(G19,Водители!$B$3:$C$39,2,FALSE),"-")</f>
        <v>89236830899</v>
      </c>
    </row>
    <row r="20" spans="1:8" x14ac:dyDescent="0.25">
      <c r="C20" s="2" t="s">
        <v>148</v>
      </c>
      <c r="D20" s="4">
        <v>89224585613</v>
      </c>
      <c r="E20" s="15" t="s">
        <v>22</v>
      </c>
      <c r="F20" s="66" t="s">
        <v>145</v>
      </c>
      <c r="G20" t="s">
        <v>156</v>
      </c>
      <c r="H20">
        <f>IFERROR(VLOOKUP(G20,Водители!$B$3:$C$39,2,FALSE),"-")</f>
        <v>89220006159</v>
      </c>
    </row>
    <row r="21" spans="1:8" x14ac:dyDescent="0.25">
      <c r="C21" s="2" t="s">
        <v>147</v>
      </c>
      <c r="D21" s="2">
        <v>89224753150</v>
      </c>
      <c r="E21" s="15" t="s">
        <v>22</v>
      </c>
      <c r="F21" s="66" t="s">
        <v>145</v>
      </c>
      <c r="G21" t="s">
        <v>125</v>
      </c>
      <c r="H21">
        <f>IFERROR(VLOOKUP(G21,Водители!$B$3:$C$39,2,FALSE),"-")</f>
        <v>89327528044</v>
      </c>
    </row>
    <row r="22" spans="1:8" x14ac:dyDescent="0.25">
      <c r="C22" s="11" t="s">
        <v>152</v>
      </c>
      <c r="D22" s="2">
        <v>89877116501</v>
      </c>
      <c r="E22" s="15" t="s">
        <v>22</v>
      </c>
      <c r="F22" s="66" t="s">
        <v>145</v>
      </c>
      <c r="G22" t="s">
        <v>155</v>
      </c>
      <c r="H22">
        <f>IFERROR(VLOOKUP(G22,Водители!$B$3:$C$39,2,FALSE),"-")</f>
        <v>89224136139</v>
      </c>
    </row>
    <row r="23" spans="1:8" x14ac:dyDescent="0.25">
      <c r="C23" s="11" t="s">
        <v>153</v>
      </c>
      <c r="D23" s="4">
        <v>89223992306</v>
      </c>
      <c r="E23" s="15" t="s">
        <v>22</v>
      </c>
      <c r="F23" s="66" t="s">
        <v>145</v>
      </c>
      <c r="G23" t="s">
        <v>155</v>
      </c>
      <c r="H23">
        <f>IFERROR(VLOOKUP(G23,Водители!$B$3:$C$39,2,FALSE),"-")</f>
        <v>89224136139</v>
      </c>
    </row>
    <row r="24" spans="1:8" x14ac:dyDescent="0.25">
      <c r="A24" t="s">
        <v>23</v>
      </c>
      <c r="C24" s="11" t="s">
        <v>11</v>
      </c>
      <c r="D24" s="4">
        <v>89292668960</v>
      </c>
      <c r="E24" s="15" t="s">
        <v>37</v>
      </c>
      <c r="F24" s="66" t="s">
        <v>145</v>
      </c>
      <c r="G24" t="s">
        <v>156</v>
      </c>
      <c r="H24">
        <f>IFERROR(VLOOKUP(G24,Водители!$B$3:$C$39,2,FALSE),"-")</f>
        <v>89220006159</v>
      </c>
    </row>
    <row r="25" spans="1:8" x14ac:dyDescent="0.25">
      <c r="A25" t="s">
        <v>23</v>
      </c>
      <c r="C25" s="2" t="s">
        <v>15</v>
      </c>
      <c r="D25" s="2">
        <v>89220900063</v>
      </c>
      <c r="E25" s="15" t="s">
        <v>37</v>
      </c>
      <c r="F25" s="66" t="s">
        <v>145</v>
      </c>
      <c r="G25" t="s">
        <v>155</v>
      </c>
      <c r="H25">
        <f>IFERROR(VLOOKUP(G25,Водители!$B$3:$C$39,2,FALSE),"-")</f>
        <v>89224136139</v>
      </c>
    </row>
    <row r="26" spans="1:8" x14ac:dyDescent="0.25">
      <c r="C26" s="2" t="s">
        <v>180</v>
      </c>
      <c r="D26" s="2">
        <v>89527232654</v>
      </c>
      <c r="E26" s="15" t="s">
        <v>37</v>
      </c>
      <c r="F26" s="66" t="s">
        <v>145</v>
      </c>
      <c r="G26" t="s">
        <v>100</v>
      </c>
      <c r="H26">
        <f>IFERROR(VLOOKUP(G26,Водители!$B$3:$C$39,2,FALSE),"-")</f>
        <v>89221702825</v>
      </c>
    </row>
    <row r="27" spans="1:8" x14ac:dyDescent="0.25">
      <c r="A27" t="s">
        <v>23</v>
      </c>
      <c r="C27" s="2"/>
      <c r="D27" s="4"/>
      <c r="E27" s="15" t="s">
        <v>37</v>
      </c>
      <c r="F27" s="66" t="s">
        <v>145</v>
      </c>
      <c r="G27" t="s">
        <v>100</v>
      </c>
      <c r="H27">
        <f>IFERROR(VLOOKUP(G27,Водители!$B$3:$C$39,2,FALSE),"-")</f>
        <v>89221702825</v>
      </c>
    </row>
    <row r="28" spans="1:8" x14ac:dyDescent="0.25">
      <c r="C28" s="2"/>
      <c r="D28" s="2"/>
      <c r="E28" s="15" t="s">
        <v>37</v>
      </c>
      <c r="F28" s="66" t="s">
        <v>145</v>
      </c>
      <c r="H28" t="str">
        <f>IFERROR(VLOOKUP(G28,Водители!$B$3:$C$39,2,FALSE),"-")</f>
        <v>-</v>
      </c>
    </row>
    <row r="29" spans="1:8" x14ac:dyDescent="0.25">
      <c r="C29" s="11"/>
      <c r="D29" s="4"/>
      <c r="E29" s="15" t="s">
        <v>37</v>
      </c>
      <c r="H29" t="str">
        <f>IFERROR(VLOOKUP(G29,Водители!$B$3:$C$39,2,FALSE),"-")</f>
        <v>-</v>
      </c>
    </row>
    <row r="30" spans="1:8" x14ac:dyDescent="0.25">
      <c r="A30" t="s">
        <v>24</v>
      </c>
      <c r="C30" s="11"/>
      <c r="D30" s="10"/>
      <c r="H30" t="str">
        <f>IFERROR(VLOOKUP(G30,Водители!$B$3:$C$39,2,FALSE),"-")</f>
        <v>-</v>
      </c>
    </row>
    <row r="31" spans="1:8" x14ac:dyDescent="0.25">
      <c r="C31" s="2"/>
      <c r="D31" s="2"/>
      <c r="E31" s="15" t="s">
        <v>24</v>
      </c>
      <c r="F31" s="66" t="s">
        <v>145</v>
      </c>
      <c r="H31" t="str">
        <f>IFERROR(VLOOKUP(G31,Водители!$B$3:$C$39,2,FALSE),"-")</f>
        <v>-</v>
      </c>
    </row>
    <row r="32" spans="1:8" x14ac:dyDescent="0.25">
      <c r="C32" s="2" t="s">
        <v>137</v>
      </c>
      <c r="D32" s="2">
        <v>89507900553</v>
      </c>
      <c r="E32" s="15" t="s">
        <v>24</v>
      </c>
      <c r="F32" s="66" t="s">
        <v>145</v>
      </c>
      <c r="H32" t="str">
        <f>IFERROR(VLOOKUP(G32,Водители!$B$3:$C$39,2,FALSE),"-")</f>
        <v>-</v>
      </c>
    </row>
    <row r="33" spans="1:8" x14ac:dyDescent="0.25">
      <c r="C33" s="2" t="s">
        <v>14</v>
      </c>
      <c r="D33" s="2">
        <v>89272514514</v>
      </c>
      <c r="E33" s="15" t="s">
        <v>24</v>
      </c>
      <c r="F33" s="66" t="s">
        <v>145</v>
      </c>
      <c r="G33" t="s">
        <v>119</v>
      </c>
      <c r="H33">
        <f>IFERROR(VLOOKUP(G33,Водители!$B$3:$C$39,2,FALSE),"-")</f>
        <v>89226535314</v>
      </c>
    </row>
    <row r="34" spans="1:8" x14ac:dyDescent="0.25">
      <c r="C34" s="2" t="s">
        <v>13</v>
      </c>
      <c r="D34" s="2">
        <v>89372057863</v>
      </c>
      <c r="E34" s="15" t="s">
        <v>24</v>
      </c>
      <c r="F34" s="66" t="s">
        <v>145</v>
      </c>
      <c r="G34" t="s">
        <v>100</v>
      </c>
      <c r="H34">
        <f>IFERROR(VLOOKUP(G34,Водители!$B$3:$C$39,2,FALSE),"-")</f>
        <v>89221702825</v>
      </c>
    </row>
    <row r="35" spans="1:8" x14ac:dyDescent="0.25">
      <c r="C35" s="2" t="s">
        <v>16</v>
      </c>
      <c r="D35" s="2">
        <v>89225730620</v>
      </c>
      <c r="E35" s="15" t="s">
        <v>24</v>
      </c>
      <c r="F35" s="66" t="s">
        <v>145</v>
      </c>
      <c r="H35" t="str">
        <f>IFERROR(VLOOKUP(G35,Водители!$B$3:$C$39,2,FALSE),"-")</f>
        <v>-</v>
      </c>
    </row>
    <row r="36" spans="1:8" x14ac:dyDescent="0.25">
      <c r="C36" s="2" t="s">
        <v>95</v>
      </c>
      <c r="D36" s="2">
        <v>89226212658</v>
      </c>
      <c r="E36" s="15" t="s">
        <v>24</v>
      </c>
      <c r="F36" s="66" t="s">
        <v>145</v>
      </c>
      <c r="G36" t="s">
        <v>100</v>
      </c>
      <c r="H36">
        <f>IFERROR(VLOOKUP(G36,Водители!$B$3:$C$39,2,FALSE),"-")</f>
        <v>89221702825</v>
      </c>
    </row>
    <row r="37" spans="1:8" x14ac:dyDescent="0.25">
      <c r="A37" t="s">
        <v>25</v>
      </c>
      <c r="C37" s="2"/>
      <c r="D37" s="2"/>
      <c r="H37" t="str">
        <f>IFERROR(VLOOKUP(G37,Водители!$B$3:$C$39,2,FALSE),"-")</f>
        <v>-</v>
      </c>
    </row>
    <row r="38" spans="1:8" x14ac:dyDescent="0.25">
      <c r="C38" s="2"/>
      <c r="D38" s="2"/>
      <c r="E38" s="15" t="s">
        <v>25</v>
      </c>
      <c r="F38" s="66" t="s">
        <v>145</v>
      </c>
      <c r="H38" t="str">
        <f>IFERROR(VLOOKUP(G38,Водители!$B$3:$C$39,2,FALSE),"-")</f>
        <v>-</v>
      </c>
    </row>
    <row r="39" spans="1:8" x14ac:dyDescent="0.25">
      <c r="C39" s="13"/>
      <c r="D39" s="2"/>
      <c r="E39" s="15" t="s">
        <v>25</v>
      </c>
      <c r="F39" s="66" t="s">
        <v>145</v>
      </c>
      <c r="H39" t="str">
        <f>IFERROR(VLOOKUP(G39,Водители!$B$3:$C$39,2,FALSE),"-")</f>
        <v>-</v>
      </c>
    </row>
    <row r="40" spans="1:8" x14ac:dyDescent="0.25">
      <c r="C40" s="13"/>
      <c r="D40" s="2"/>
      <c r="E40" s="15" t="s">
        <v>25</v>
      </c>
      <c r="F40" s="66" t="s">
        <v>145</v>
      </c>
      <c r="H40" t="str">
        <f>IFERROR(VLOOKUP(G40,Водители!$B$3:$C$39,2,FALSE),"-")</f>
        <v>-</v>
      </c>
    </row>
    <row r="41" spans="1:8" x14ac:dyDescent="0.25">
      <c r="C41" s="2"/>
      <c r="D41" s="2"/>
      <c r="E41" s="15" t="s">
        <v>25</v>
      </c>
      <c r="F41" s="66" t="s">
        <v>145</v>
      </c>
      <c r="H41" t="str">
        <f>IFERROR(VLOOKUP(G41,Водители!$B$3:$C$39,2,FALSE),"-")</f>
        <v>-</v>
      </c>
    </row>
    <row r="42" spans="1:8" x14ac:dyDescent="0.25">
      <c r="C42" s="2"/>
      <c r="D42" s="2"/>
      <c r="E42" s="15" t="s">
        <v>24</v>
      </c>
      <c r="F42" s="66" t="s">
        <v>145</v>
      </c>
      <c r="H42" t="str">
        <f>IFERROR(VLOOKUP(G42,Водители!$B$3:$C$39,2,FALSE),"-")</f>
        <v>-</v>
      </c>
    </row>
    <row r="43" spans="1:8" x14ac:dyDescent="0.25">
      <c r="C43" s="2"/>
      <c r="D43" s="4"/>
      <c r="E43" s="15" t="s">
        <v>25</v>
      </c>
      <c r="F43" s="66" t="s">
        <v>145</v>
      </c>
      <c r="H43" t="str">
        <f>IFERROR(VLOOKUP(G43,Водители!$B$3:$C$39,2,FALSE),"-")</f>
        <v>-</v>
      </c>
    </row>
    <row r="44" spans="1:8" x14ac:dyDescent="0.25">
      <c r="E44" s="15" t="s">
        <v>25</v>
      </c>
      <c r="F44" s="66" t="s">
        <v>145</v>
      </c>
      <c r="H44" t="str">
        <f>IFERROR(VLOOKUP(G44,Водители!$B$3:$C$39,2,FALSE),"-")</f>
        <v>-</v>
      </c>
    </row>
    <row r="45" spans="1:8" x14ac:dyDescent="0.25">
      <c r="C45" s="13"/>
      <c r="D45" s="4"/>
      <c r="E45" s="15" t="s">
        <v>25</v>
      </c>
      <c r="F45" s="66" t="s">
        <v>145</v>
      </c>
      <c r="H45" t="str">
        <f>IFERROR(VLOOKUP(G45,Водители!$B$3:$C$39,2,FALSE),"-")</f>
        <v>-</v>
      </c>
    </row>
    <row r="46" spans="1:8" x14ac:dyDescent="0.25">
      <c r="C46" s="13"/>
      <c r="D46" s="4"/>
      <c r="E46" s="15" t="s">
        <v>25</v>
      </c>
      <c r="F46" s="66" t="s">
        <v>145</v>
      </c>
      <c r="H46" t="str">
        <f>IFERROR(VLOOKUP(G46,Водители!$B$3:$C$39,2,FALSE),"-")</f>
        <v>-</v>
      </c>
    </row>
    <row r="47" spans="1:8" x14ac:dyDescent="0.25">
      <c r="A47" t="s">
        <v>26</v>
      </c>
      <c r="C47" s="13"/>
      <c r="D47" s="4"/>
      <c r="F47" s="66" t="s">
        <v>145</v>
      </c>
      <c r="H47" t="str">
        <f>IFERROR(VLOOKUP(G47,Водители!$B$3:$C$39,2,FALSE),"-")</f>
        <v>-</v>
      </c>
    </row>
    <row r="48" spans="1:8" x14ac:dyDescent="0.25">
      <c r="C48" s="2"/>
      <c r="D48" s="2"/>
      <c r="E48" s="16" t="s">
        <v>26</v>
      </c>
      <c r="F48" s="66" t="s">
        <v>145</v>
      </c>
      <c r="H48" t="str">
        <f>IFERROR(VLOOKUP(G48,Водители!$B$3:$C$39,2,FALSE),"-")</f>
        <v>-</v>
      </c>
    </row>
    <row r="49" spans="1:8" x14ac:dyDescent="0.25">
      <c r="C49" s="2" t="s">
        <v>108</v>
      </c>
      <c r="D49" s="2">
        <v>89323204735</v>
      </c>
      <c r="E49" s="16" t="s">
        <v>26</v>
      </c>
      <c r="F49" s="66" t="s">
        <v>145</v>
      </c>
      <c r="G49" t="s">
        <v>51</v>
      </c>
      <c r="H49">
        <f>IFERROR(VLOOKUP(G49,Водители!$B$3:$C$39,2,FALSE),"-")</f>
        <v>89324874982</v>
      </c>
    </row>
    <row r="50" spans="1:8" x14ac:dyDescent="0.25">
      <c r="C50" s="2" t="s">
        <v>17</v>
      </c>
      <c r="D50" s="2">
        <v>89164132804</v>
      </c>
      <c r="E50" s="16" t="s">
        <v>26</v>
      </c>
      <c r="F50" s="66" t="s">
        <v>145</v>
      </c>
      <c r="H50" t="str">
        <f>IFERROR(VLOOKUP(G50,Водители!$B$3:$C$39,2,FALSE),"-")</f>
        <v>-</v>
      </c>
    </row>
    <row r="51" spans="1:8" x14ac:dyDescent="0.25">
      <c r="A51" t="s">
        <v>27</v>
      </c>
      <c r="C51" s="13"/>
      <c r="D51" s="4"/>
      <c r="H51" t="str">
        <f>IFERROR(VLOOKUP(G51,Водители!$B$3:$C$39,2,FALSE),"-")</f>
        <v>-</v>
      </c>
    </row>
    <row r="52" spans="1:8" x14ac:dyDescent="0.25">
      <c r="C52" s="2"/>
      <c r="D52" s="2"/>
      <c r="E52" s="15" t="s">
        <v>27</v>
      </c>
      <c r="H52" t="str">
        <f>IFERROR(VLOOKUP(G52,Водители!$B$3:$C$39,2,FALSE),"-")</f>
        <v>-</v>
      </c>
    </row>
    <row r="53" spans="1:8" x14ac:dyDescent="0.25">
      <c r="C53" s="2" t="s">
        <v>70</v>
      </c>
      <c r="D53" s="2">
        <v>89934121384</v>
      </c>
      <c r="E53" s="15" t="s">
        <v>27</v>
      </c>
      <c r="F53" s="66" t="s">
        <v>145</v>
      </c>
      <c r="G53" t="s">
        <v>70</v>
      </c>
      <c r="H53">
        <f>IFERROR(VLOOKUP(G53,Водители!$B$3:$C$39,2,FALSE),"-")</f>
        <v>89934121384</v>
      </c>
    </row>
    <row r="54" spans="1:8" x14ac:dyDescent="0.25">
      <c r="C54" s="2" t="s">
        <v>142</v>
      </c>
      <c r="D54" s="2">
        <v>89959404490</v>
      </c>
      <c r="E54" s="15" t="s">
        <v>27</v>
      </c>
      <c r="F54" s="66" t="s">
        <v>145</v>
      </c>
      <c r="G54" t="s">
        <v>70</v>
      </c>
      <c r="H54">
        <f>IFERROR(VLOOKUP(G54,Водители!$B$3:$C$39,2,FALSE),"-")</f>
        <v>89934121384</v>
      </c>
    </row>
    <row r="55" spans="1:8" x14ac:dyDescent="0.25">
      <c r="C55" s="2" t="s">
        <v>66</v>
      </c>
      <c r="D55" s="4">
        <v>89296270102</v>
      </c>
      <c r="E55" s="15" t="s">
        <v>27</v>
      </c>
      <c r="F55" s="66" t="s">
        <v>145</v>
      </c>
      <c r="G55" t="s">
        <v>70</v>
      </c>
      <c r="H55">
        <f>IFERROR(VLOOKUP(G55,Водители!$B$3:$C$39,2,FALSE),"-")</f>
        <v>89934121384</v>
      </c>
    </row>
    <row r="56" spans="1:8" x14ac:dyDescent="0.25">
      <c r="C56" s="2" t="s">
        <v>76</v>
      </c>
      <c r="D56" s="2">
        <v>89233625749</v>
      </c>
      <c r="E56" s="15" t="s">
        <v>27</v>
      </c>
      <c r="F56" s="66" t="s">
        <v>145</v>
      </c>
      <c r="G56" t="s">
        <v>100</v>
      </c>
      <c r="H56">
        <f>IFERROR(VLOOKUP(G56,Водители!$B$3:$C$39,2,FALSE),"-")</f>
        <v>89221702825</v>
      </c>
    </row>
    <row r="57" spans="1:8" x14ac:dyDescent="0.25">
      <c r="C57" s="2" t="s">
        <v>132</v>
      </c>
      <c r="D57" s="2">
        <v>8952410797</v>
      </c>
      <c r="E57" s="15" t="s">
        <v>27</v>
      </c>
      <c r="F57" s="66" t="s">
        <v>145</v>
      </c>
      <c r="G57" t="s">
        <v>119</v>
      </c>
      <c r="H57">
        <f>IFERROR(VLOOKUP(G57,Водители!$B$3:$C$39,2,FALSE),"-")</f>
        <v>89226535314</v>
      </c>
    </row>
    <row r="58" spans="1:8" x14ac:dyDescent="0.25">
      <c r="A58" t="s">
        <v>28</v>
      </c>
      <c r="C58" s="2"/>
      <c r="D58" s="2"/>
      <c r="H58" t="str">
        <f>IFERROR(VLOOKUP(G58,Водители!$B$3:$C$39,2,FALSE),"-")</f>
        <v>-</v>
      </c>
    </row>
    <row r="59" spans="1:8" x14ac:dyDescent="0.25">
      <c r="C59" s="2" t="s">
        <v>18</v>
      </c>
      <c r="D59" s="2">
        <v>89221499553</v>
      </c>
      <c r="E59" s="15" t="s">
        <v>28</v>
      </c>
      <c r="F59" s="66" t="s">
        <v>145</v>
      </c>
      <c r="G59" t="s">
        <v>124</v>
      </c>
      <c r="H59">
        <f>IFERROR(VLOOKUP(G59,Водители!$B$3:$C$39,2,FALSE),"-")</f>
        <v>89324351664</v>
      </c>
    </row>
    <row r="60" spans="1:8" x14ac:dyDescent="0.25">
      <c r="C60" s="13" t="s">
        <v>109</v>
      </c>
      <c r="D60" s="2">
        <v>89136101258</v>
      </c>
      <c r="E60" s="15" t="s">
        <v>28</v>
      </c>
      <c r="F60" s="66" t="s">
        <v>145</v>
      </c>
      <c r="G60" t="s">
        <v>124</v>
      </c>
      <c r="H60">
        <f>IFERROR(VLOOKUP(G60,Водители!$B$3:$C$39,2,FALSE),"-")</f>
        <v>89324351664</v>
      </c>
    </row>
    <row r="61" spans="1:8" x14ac:dyDescent="0.25">
      <c r="C61" s="13"/>
      <c r="D61" s="2"/>
      <c r="F61" s="66" t="s">
        <v>145</v>
      </c>
      <c r="H61" t="str">
        <f>IFERROR(VLOOKUP(G61,Водители!$B$3:$C$39,2,FALSE),"-")</f>
        <v>-</v>
      </c>
    </row>
    <row r="62" spans="1:8" x14ac:dyDescent="0.25">
      <c r="A62" t="s">
        <v>5</v>
      </c>
      <c r="C62" s="14"/>
      <c r="D62" s="8"/>
      <c r="H62" t="str">
        <f>IFERROR(VLOOKUP(G62,Водители!$B$3:$C$39,2,FALSE),"-")</f>
        <v>-</v>
      </c>
    </row>
    <row r="63" spans="1:8" x14ac:dyDescent="0.25">
      <c r="C63" s="2" t="s">
        <v>75</v>
      </c>
      <c r="D63" s="9">
        <v>89199237374</v>
      </c>
      <c r="E63" s="15" t="s">
        <v>42</v>
      </c>
      <c r="F63" s="66" t="s">
        <v>145</v>
      </c>
      <c r="H63" t="str">
        <f>IFERROR(VLOOKUP(G63,Водители!$B$3:$C$39,2,FALSE),"-")</f>
        <v>-</v>
      </c>
    </row>
    <row r="64" spans="1:8" x14ac:dyDescent="0.25">
      <c r="C64" s="2" t="s">
        <v>146</v>
      </c>
      <c r="D64" s="9">
        <v>89199237374</v>
      </c>
      <c r="E64" s="15" t="s">
        <v>42</v>
      </c>
      <c r="F64" s="66" t="s">
        <v>145</v>
      </c>
      <c r="H64" t="str">
        <f>IFERROR(VLOOKUP(G64,Водители!$B$3:$C$39,2,FALSE),"-")</f>
        <v>-</v>
      </c>
    </row>
    <row r="65" spans="1:8" x14ac:dyDescent="0.25">
      <c r="C65" s="2" t="s">
        <v>159</v>
      </c>
      <c r="D65" s="9">
        <v>89223997294</v>
      </c>
      <c r="E65" s="15" t="s">
        <v>42</v>
      </c>
      <c r="F65" s="66" t="s">
        <v>145</v>
      </c>
      <c r="H65" t="str">
        <f>IFERROR(VLOOKUP(G65,Водители!$B$3:$C$39,2,FALSE),"-")</f>
        <v>-</v>
      </c>
    </row>
    <row r="66" spans="1:8" x14ac:dyDescent="0.25">
      <c r="C66" s="2" t="s">
        <v>149</v>
      </c>
      <c r="D66" s="9">
        <v>89224756615</v>
      </c>
      <c r="E66" s="15" t="s">
        <v>42</v>
      </c>
      <c r="F66" s="66" t="s">
        <v>145</v>
      </c>
      <c r="G66" t="s">
        <v>100</v>
      </c>
      <c r="H66">
        <f>IFERROR(VLOOKUP(G66,Водители!$B$3:$C$39,2,FALSE),"-")</f>
        <v>89221702825</v>
      </c>
    </row>
    <row r="67" spans="1:8" x14ac:dyDescent="0.25">
      <c r="A67" t="s">
        <v>29</v>
      </c>
      <c r="H67" t="str">
        <f>IFERROR(VLOOKUP(G67,Водители!$B$3:$C$39,2,FALSE),"-")</f>
        <v>-</v>
      </c>
    </row>
    <row r="68" spans="1:8" x14ac:dyDescent="0.25">
      <c r="C68" s="4" t="s">
        <v>67</v>
      </c>
      <c r="D68" s="2">
        <v>89292721566</v>
      </c>
      <c r="E68" s="15" t="s">
        <v>43</v>
      </c>
      <c r="F68" s="67" t="s">
        <v>113</v>
      </c>
      <c r="H68" t="str">
        <f>IFERROR(VLOOKUP(G68,Водители!$B$3:$C$39,2,FALSE),"-")</f>
        <v>-</v>
      </c>
    </row>
    <row r="69" spans="1:8" x14ac:dyDescent="0.25">
      <c r="C69" s="2" t="s">
        <v>58</v>
      </c>
      <c r="D69" s="2">
        <v>89220402700</v>
      </c>
      <c r="E69" s="15" t="s">
        <v>43</v>
      </c>
      <c r="F69" s="67" t="s">
        <v>113</v>
      </c>
      <c r="H69" t="str">
        <f>IFERROR(VLOOKUP(G69,Водители!$B$3:$C$39,2,FALSE),"-")</f>
        <v>-</v>
      </c>
    </row>
    <row r="70" spans="1:8" x14ac:dyDescent="0.25">
      <c r="A70" t="s">
        <v>4</v>
      </c>
      <c r="H70" t="str">
        <f>IFERROR(VLOOKUP(G70,Водители!$B$3:$C$39,2,FALSE),"-")</f>
        <v>-</v>
      </c>
    </row>
    <row r="71" spans="1:8" x14ac:dyDescent="0.25">
      <c r="C71" s="59" t="s">
        <v>112</v>
      </c>
      <c r="D71" s="13">
        <v>89224071163</v>
      </c>
      <c r="E71" s="15" t="s">
        <v>44</v>
      </c>
      <c r="F71" s="67" t="s">
        <v>114</v>
      </c>
      <c r="H71" t="str">
        <f>IFERROR(VLOOKUP(G71,Водители!$B$3:$C$39,2,FALSE),"-")</f>
        <v>-</v>
      </c>
    </row>
    <row r="72" spans="1:8" x14ac:dyDescent="0.25">
      <c r="C72" s="13" t="s">
        <v>123</v>
      </c>
      <c r="D72" s="13">
        <v>89323200603</v>
      </c>
      <c r="E72" s="15" t="s">
        <v>44</v>
      </c>
      <c r="F72" s="67" t="s">
        <v>114</v>
      </c>
      <c r="G72" t="s">
        <v>100</v>
      </c>
      <c r="H72">
        <f>IFERROR(VLOOKUP(G72,Водители!$B$3:$C$39,2,FALSE),"-")</f>
        <v>89221702825</v>
      </c>
    </row>
    <row r="73" spans="1:8" x14ac:dyDescent="0.25">
      <c r="C73" s="2" t="s">
        <v>111</v>
      </c>
      <c r="D73" s="13">
        <v>89320953120</v>
      </c>
      <c r="E73" s="15" t="s">
        <v>44</v>
      </c>
      <c r="F73" s="67" t="s">
        <v>114</v>
      </c>
      <c r="G73" t="s">
        <v>51</v>
      </c>
      <c r="H73">
        <f>IFERROR(VLOOKUP(G73,Водители!$B$3:$C$39,2,FALSE),"-")</f>
        <v>89324874982</v>
      </c>
    </row>
    <row r="74" spans="1:8" x14ac:dyDescent="0.25">
      <c r="C74" s="2" t="s">
        <v>126</v>
      </c>
      <c r="D74" s="2">
        <v>89292001807</v>
      </c>
      <c r="E74" s="15" t="s">
        <v>44</v>
      </c>
      <c r="F74" s="67" t="s">
        <v>114</v>
      </c>
      <c r="H74" t="str">
        <f>IFERROR(VLOOKUP(G74,Водители!$B$3:$C$39,2,FALSE),"-")</f>
        <v>-</v>
      </c>
    </row>
    <row r="75" spans="1:8" x14ac:dyDescent="0.25">
      <c r="C75" s="13" t="s">
        <v>104</v>
      </c>
      <c r="D75" s="13">
        <v>89081175443</v>
      </c>
      <c r="E75" s="15" t="s">
        <v>130</v>
      </c>
      <c r="F75" s="67" t="s">
        <v>114</v>
      </c>
      <c r="H75" t="str">
        <f>IFERROR(VLOOKUP(G75,Водители!$B$3:$C$39,2,FALSE),"-")</f>
        <v>-</v>
      </c>
    </row>
    <row r="76" spans="1:8" x14ac:dyDescent="0.25">
      <c r="A76" t="s">
        <v>30</v>
      </c>
      <c r="C76" s="13"/>
      <c r="D76" s="4"/>
      <c r="H76" t="str">
        <f>IFERROR(VLOOKUP(G76,Водители!$B$3:$C$39,2,FALSE),"-")</f>
        <v>-</v>
      </c>
    </row>
    <row r="77" spans="1:8" x14ac:dyDescent="0.25">
      <c r="C77" s="13" t="s">
        <v>19</v>
      </c>
      <c r="D77" s="2">
        <v>89222669182</v>
      </c>
      <c r="E77" s="15" t="s">
        <v>45</v>
      </c>
      <c r="F77" s="66" t="s">
        <v>116</v>
      </c>
      <c r="H77" t="str">
        <f>IFERROR(VLOOKUP(G77,Водители!$B$3:$C$39,2,FALSE),"-")</f>
        <v>-</v>
      </c>
    </row>
    <row r="78" spans="1:8" x14ac:dyDescent="0.25">
      <c r="C78" s="13" t="s">
        <v>150</v>
      </c>
      <c r="D78" s="2">
        <v>89207560944</v>
      </c>
      <c r="E78" s="15" t="s">
        <v>45</v>
      </c>
      <c r="F78" s="66" t="s">
        <v>116</v>
      </c>
      <c r="H78" t="str">
        <f>IFERROR(VLOOKUP(G78,Водители!$B$3:$C$39,2,FALSE),"-")</f>
        <v>-</v>
      </c>
    </row>
    <row r="79" spans="1:8" x14ac:dyDescent="0.25">
      <c r="A79" t="s">
        <v>31</v>
      </c>
      <c r="C79" s="8"/>
      <c r="D79" s="8"/>
      <c r="H79" t="str">
        <f>IFERROR(VLOOKUP(G79,Водители!$B$3:$C$39,2,FALSE),"-")</f>
        <v>-</v>
      </c>
    </row>
    <row r="80" spans="1:8" x14ac:dyDescent="0.25">
      <c r="C80" s="2"/>
      <c r="D80" s="2"/>
      <c r="E80" s="15" t="s">
        <v>31</v>
      </c>
      <c r="H80" t="str">
        <f>IFERROR(VLOOKUP(G80,Водители!$B$3:$C$39,2,FALSE),"-")</f>
        <v>-</v>
      </c>
    </row>
    <row r="81" spans="1:8" x14ac:dyDescent="0.25">
      <c r="C81" s="8"/>
      <c r="D81" s="8"/>
      <c r="H81" t="str">
        <f>IFERROR(VLOOKUP(G81,Водители!$B$3:$C$39,2,FALSE),"-")</f>
        <v>-</v>
      </c>
    </row>
    <row r="82" spans="1:8" x14ac:dyDescent="0.25">
      <c r="A82" t="s">
        <v>32</v>
      </c>
      <c r="H82" t="str">
        <f>IFERROR(VLOOKUP(G82,Водители!$B$3:$C$39,2,FALSE),"-")</f>
        <v>-</v>
      </c>
    </row>
    <row r="83" spans="1:8" x14ac:dyDescent="0.25">
      <c r="C83" s="2"/>
      <c r="D83" s="2"/>
      <c r="E83" s="15" t="s">
        <v>97</v>
      </c>
      <c r="F83" s="66" t="s">
        <v>115</v>
      </c>
      <c r="H83" t="str">
        <f>IFERROR(VLOOKUP(G83,Водители!$B$3:$C$39,2,FALSE),"-")</f>
        <v>-</v>
      </c>
    </row>
    <row r="84" spans="1:8" x14ac:dyDescent="0.25">
      <c r="C84" s="2" t="s">
        <v>128</v>
      </c>
      <c r="D84" s="2">
        <v>89963218760</v>
      </c>
      <c r="E84" s="15" t="s">
        <v>97</v>
      </c>
      <c r="F84" s="66" t="s">
        <v>115</v>
      </c>
      <c r="H84" t="str">
        <f>IFERROR(VLOOKUP(G84,Водители!$B$3:$C$39,2,FALSE),"-")</f>
        <v>-</v>
      </c>
    </row>
    <row r="85" spans="1:8" x14ac:dyDescent="0.25">
      <c r="C85" s="13"/>
      <c r="D85" s="2"/>
      <c r="E85" s="15" t="s">
        <v>97</v>
      </c>
      <c r="F85" s="66" t="s">
        <v>115</v>
      </c>
      <c r="H85" t="str">
        <f>IFERROR(VLOOKUP(G85,Водители!$B$3:$C$39,2,FALSE),"-")</f>
        <v>-</v>
      </c>
    </row>
    <row r="86" spans="1:8" x14ac:dyDescent="0.25">
      <c r="C86" s="2" t="s">
        <v>20</v>
      </c>
      <c r="D86" s="12">
        <v>89233641590</v>
      </c>
      <c r="E86" s="15" t="s">
        <v>97</v>
      </c>
      <c r="F86" s="66" t="s">
        <v>115</v>
      </c>
      <c r="H86" t="str">
        <f>IFERROR(VLOOKUP(G86,Водители!$B$3:$C$39,2,FALSE),"-")</f>
        <v>-</v>
      </c>
    </row>
    <row r="87" spans="1:8" x14ac:dyDescent="0.25">
      <c r="C87" s="2" t="s">
        <v>21</v>
      </c>
      <c r="D87" s="12">
        <v>89523497889</v>
      </c>
      <c r="E87" s="15" t="s">
        <v>97</v>
      </c>
      <c r="F87" s="66" t="s">
        <v>115</v>
      </c>
      <c r="H87" t="str">
        <f>IFERROR(VLOOKUP(G87,Водители!$B$3:$C$39,2,FALSE),"-")</f>
        <v>-</v>
      </c>
    </row>
    <row r="88" spans="1:8" x14ac:dyDescent="0.25">
      <c r="C88" s="2" t="s">
        <v>101</v>
      </c>
      <c r="D88" s="4">
        <v>89695192336</v>
      </c>
      <c r="E88" s="15" t="s">
        <v>97</v>
      </c>
      <c r="F88" s="66" t="s">
        <v>115</v>
      </c>
      <c r="H88" t="str">
        <f>IFERROR(VLOOKUP(G88,Водители!$B$3:$C$39,2,FALSE),"-")</f>
        <v>-</v>
      </c>
    </row>
    <row r="89" spans="1:8" x14ac:dyDescent="0.25">
      <c r="C89" s="2" t="s">
        <v>60</v>
      </c>
      <c r="D89" s="2">
        <v>89272500770</v>
      </c>
      <c r="E89" s="15" t="s">
        <v>97</v>
      </c>
      <c r="F89" s="66" t="s">
        <v>115</v>
      </c>
      <c r="H89" t="str">
        <f>IFERROR(VLOOKUP(G89,Водители!$B$3:$C$39,2,FALSE),"-")</f>
        <v>-</v>
      </c>
    </row>
    <row r="90" spans="1:8" x14ac:dyDescent="0.25">
      <c r="C90" s="2"/>
      <c r="D90" s="2"/>
      <c r="H90" t="str">
        <f>IFERROR(VLOOKUP(G90,Водители!$B$3:$C$39,2,FALSE),"-")</f>
        <v>-</v>
      </c>
    </row>
    <row r="91" spans="1:8" x14ac:dyDescent="0.25">
      <c r="C91" s="2" t="s">
        <v>72</v>
      </c>
      <c r="D91" s="2">
        <v>89220712164</v>
      </c>
      <c r="E91" s="15" t="s">
        <v>98</v>
      </c>
      <c r="F91" s="66" t="s">
        <v>115</v>
      </c>
      <c r="H91" t="str">
        <f>IFERROR(VLOOKUP(G91,Водители!$B$3:$C$39,2,FALSE),"-")</f>
        <v>-</v>
      </c>
    </row>
    <row r="92" spans="1:8" x14ac:dyDescent="0.25">
      <c r="C92" s="13" t="s">
        <v>106</v>
      </c>
      <c r="D92" s="2">
        <v>89220944946</v>
      </c>
      <c r="E92" s="15" t="s">
        <v>98</v>
      </c>
      <c r="F92" s="66" t="s">
        <v>115</v>
      </c>
      <c r="H92" t="str">
        <f>IFERROR(VLOOKUP(G92,Водители!$B$3:$C$39,2,FALSE),"-")</f>
        <v>-</v>
      </c>
    </row>
    <row r="93" spans="1:8" x14ac:dyDescent="0.25">
      <c r="C93" s="13"/>
      <c r="D93" s="2"/>
      <c r="E93" s="15" t="s">
        <v>98</v>
      </c>
      <c r="F93" s="66" t="s">
        <v>115</v>
      </c>
      <c r="H93" t="str">
        <f>IFERROR(VLOOKUP(G93,Водители!$B$3:$C$39,2,FALSE),"-")</f>
        <v>-</v>
      </c>
    </row>
    <row r="94" spans="1:8" x14ac:dyDescent="0.25">
      <c r="C94" s="2"/>
      <c r="D94" s="2"/>
      <c r="H94" t="str">
        <f>IFERROR(VLOOKUP(G94,Водители!$B$3:$C$39,2,FALSE),"-")</f>
        <v>-</v>
      </c>
    </row>
    <row r="95" spans="1:8" x14ac:dyDescent="0.25">
      <c r="C95" s="2"/>
      <c r="D95" s="2"/>
      <c r="H95" t="str">
        <f>IFERROR(VLOOKUP(G95,Водители!$B$3:$C$39,2,FALSE),"-")</f>
        <v>-</v>
      </c>
    </row>
    <row r="96" spans="1:8" x14ac:dyDescent="0.25">
      <c r="C96" s="2" t="s">
        <v>110</v>
      </c>
      <c r="D96" s="2">
        <v>89822683559</v>
      </c>
      <c r="E96" s="15" t="s">
        <v>71</v>
      </c>
      <c r="F96" s="66" t="s">
        <v>115</v>
      </c>
      <c r="H96" t="str">
        <f>IFERROR(VLOOKUP(G96,Водители!$B$3:$C$39,2,FALSE),"-")</f>
        <v>-</v>
      </c>
    </row>
    <row r="97" spans="3:8" x14ac:dyDescent="0.25">
      <c r="C97" s="13" t="s">
        <v>68</v>
      </c>
      <c r="D97" s="2">
        <v>89969467010</v>
      </c>
      <c r="E97" s="15" t="s">
        <v>71</v>
      </c>
      <c r="F97" s="66" t="s">
        <v>115</v>
      </c>
      <c r="H97" t="str">
        <f>IFERROR(VLOOKUP(G97,Водители!$B$3:$C$39,2,FALSE),"-")</f>
        <v>-</v>
      </c>
    </row>
    <row r="98" spans="3:8" x14ac:dyDescent="0.25">
      <c r="C98" s="2" t="s">
        <v>73</v>
      </c>
      <c r="D98" s="2">
        <v>89129206469</v>
      </c>
      <c r="E98" s="15" t="s">
        <v>96</v>
      </c>
      <c r="F98" s="66" t="s">
        <v>115</v>
      </c>
      <c r="H98" t="str">
        <f>IFERROR(VLOOKUP(G98,Водители!$B$3:$C$39,2,FALSE),"-")</f>
        <v>-</v>
      </c>
    </row>
    <row r="99" spans="3:8" x14ac:dyDescent="0.25">
      <c r="C99" s="2" t="s">
        <v>117</v>
      </c>
      <c r="D99" s="2">
        <v>89199224246</v>
      </c>
      <c r="E99" s="15" t="s">
        <v>71</v>
      </c>
      <c r="F99" s="66" t="s">
        <v>115</v>
      </c>
      <c r="H99" t="str">
        <f>IFERROR(VLOOKUP(G99,Водители!$B$3:$C$39,2,FALSE),"-")</f>
        <v>-</v>
      </c>
    </row>
    <row r="100" spans="3:8" x14ac:dyDescent="0.25">
      <c r="C100" s="2" t="s">
        <v>64</v>
      </c>
      <c r="D100" s="2">
        <v>89129240099</v>
      </c>
      <c r="E100" s="15" t="s">
        <v>96</v>
      </c>
      <c r="F100" s="66" t="s">
        <v>115</v>
      </c>
      <c r="H100" t="str">
        <f>IFERROR(VLOOKUP(G100,Водители!$B$3:$C$39,2,FALSE),"-")</f>
        <v>-</v>
      </c>
    </row>
    <row r="101" spans="3:8" x14ac:dyDescent="0.25">
      <c r="C101" s="2" t="s">
        <v>63</v>
      </c>
      <c r="D101" s="2">
        <v>89091854445</v>
      </c>
      <c r="E101" s="15" t="s">
        <v>96</v>
      </c>
      <c r="F101" s="66" t="s">
        <v>115</v>
      </c>
      <c r="H101" t="str">
        <f>IFERROR(VLOOKUP(G101,Водители!$B$3:$C$39,2,FALSE),"-")</f>
        <v>-</v>
      </c>
    </row>
    <row r="102" spans="3:8" x14ac:dyDescent="0.25">
      <c r="C102" s="2" t="s">
        <v>107</v>
      </c>
      <c r="D102" s="2">
        <v>89224050562</v>
      </c>
      <c r="E102" s="15" t="s">
        <v>96</v>
      </c>
      <c r="F102" s="66" t="s">
        <v>115</v>
      </c>
      <c r="H102" t="str">
        <f>IFERROR(VLOOKUP(G102,Водители!$B$3:$C$39,2,FALSE),"-")</f>
        <v>-</v>
      </c>
    </row>
    <row r="103" spans="3:8" x14ac:dyDescent="0.25">
      <c r="H103" t="str">
        <f>IFERROR(VLOOKUP(G103,[1]Водители!$B$3:$C$32,2,TRUE),"-")</f>
        <v>-</v>
      </c>
    </row>
    <row r="104" spans="3:8" x14ac:dyDescent="0.25">
      <c r="H104" t="str">
        <f>IFERROR(VLOOKUP(G104,[1]Водители!$B$3:$C$32,2,TRUE),"-")</f>
        <v>-</v>
      </c>
    </row>
    <row r="105" spans="3:8" x14ac:dyDescent="0.25">
      <c r="C105" s="2"/>
      <c r="D105" s="2"/>
      <c r="H105" t="str">
        <f>IFERROR(VLOOKUP(G105,[1]Водители!$B$3:$C$32,2,TRUE),"-")</f>
        <v>-</v>
      </c>
    </row>
    <row r="106" spans="3:8" x14ac:dyDescent="0.25">
      <c r="C106" s="13" t="s">
        <v>69</v>
      </c>
      <c r="D106" s="2">
        <v>89963216962</v>
      </c>
      <c r="E106" s="15" t="s">
        <v>46</v>
      </c>
      <c r="H106" t="str">
        <f>IFERROR(VLOOKUP(G106,[1]Водители!$B$3:$C$32,2,TRUE),"-")</f>
        <v>-</v>
      </c>
    </row>
    <row r="107" spans="3:8" x14ac:dyDescent="0.25">
      <c r="C107" s="2"/>
      <c r="D107" s="2"/>
      <c r="E107" s="15" t="s">
        <v>46</v>
      </c>
      <c r="H107" t="str">
        <f>IFERROR(VLOOKUP(G107,[1]Водители!$B$3:$C$32,2,TRUE),"-")</f>
        <v>-</v>
      </c>
    </row>
    <row r="108" spans="3:8" x14ac:dyDescent="0.25">
      <c r="C108" s="2"/>
      <c r="D108" s="2"/>
      <c r="E108" s="15" t="s">
        <v>46</v>
      </c>
      <c r="H108" t="str">
        <f>IFERROR(VLOOKUP(G108,[1]Водители!$B$3:$C$32,2,TRUE),"-")</f>
        <v>-</v>
      </c>
    </row>
    <row r="109" spans="3:8" x14ac:dyDescent="0.25">
      <c r="C109" s="13"/>
      <c r="D109" s="2"/>
      <c r="E109" s="15" t="s">
        <v>46</v>
      </c>
      <c r="H109" t="str">
        <f>IFERROR(VLOOKUP(G109,[1]Водители!$B$3:$C$32,2,TRUE),"-")</f>
        <v>-</v>
      </c>
    </row>
    <row r="110" spans="3:8" x14ac:dyDescent="0.25">
      <c r="C110" s="13"/>
      <c r="D110" s="2"/>
      <c r="E110" s="15" t="s">
        <v>46</v>
      </c>
      <c r="H110" t="str">
        <f>IFERROR(VLOOKUP(G110,[1]Водители!$B$3:$C$32,2,TRUE),"-")</f>
        <v>-</v>
      </c>
    </row>
    <row r="111" spans="3:8" x14ac:dyDescent="0.25">
      <c r="C111" s="2"/>
      <c r="D111" s="4"/>
      <c r="H111" t="str">
        <f>IFERROR(VLOOKUP(G111,[1]Водители!$B$3:$C$32,2,TRUE),"-")</f>
        <v>-</v>
      </c>
    </row>
    <row r="112" spans="3:8" x14ac:dyDescent="0.25">
      <c r="C112" s="4"/>
      <c r="D112" s="4"/>
      <c r="H112" t="str">
        <f>IFERROR(VLOOKUP(G112,[1]Водители!$B$3:$C$32,2,TRUE),"-")</f>
        <v>-</v>
      </c>
    </row>
    <row r="113" spans="3:8" x14ac:dyDescent="0.25">
      <c r="H113" t="str">
        <f>IFERROR(VLOOKUP(G113,[1]Водители!$B$3:$C$32,2,TRUE),"-")</f>
        <v>-</v>
      </c>
    </row>
    <row r="114" spans="3:8" x14ac:dyDescent="0.25">
      <c r="H114" t="str">
        <f>IFERROR(VLOOKUP(G114,[1]Водители!$B$3:$C$32,2,TRUE),"-")</f>
        <v>-</v>
      </c>
    </row>
    <row r="115" spans="3:8" x14ac:dyDescent="0.25">
      <c r="H115" t="str">
        <f>IFERROR(VLOOKUP(G115,[1]Водители!$B$3:$C$32,2,TRUE),"-")</f>
        <v>-</v>
      </c>
    </row>
    <row r="117" spans="3:8" x14ac:dyDescent="0.25">
      <c r="C117" s="11"/>
      <c r="D117" s="11"/>
    </row>
    <row r="123" spans="3:8" x14ac:dyDescent="0.25">
      <c r="C123" s="2"/>
      <c r="D123" s="12"/>
    </row>
    <row r="126" spans="3:8" x14ac:dyDescent="0.25">
      <c r="C126" s="1"/>
      <c r="D126" s="1"/>
    </row>
    <row r="127" spans="3:8" x14ac:dyDescent="0.25">
      <c r="C127" s="1"/>
      <c r="D127" s="1"/>
    </row>
    <row r="128" spans="3:8" x14ac:dyDescent="0.25">
      <c r="C128" s="1"/>
      <c r="D128" s="1"/>
    </row>
  </sheetData>
  <sortState xmlns:xlrd2="http://schemas.microsoft.com/office/spreadsheetml/2017/richdata2" ref="C9:D21">
    <sortCondition ref="C8:C21"/>
  </sortState>
  <pageMargins left="0.7" right="0.7" top="0.75" bottom="0.75" header="0.3" footer="0.3"/>
  <pageSetup paperSize="9" orientation="portrait" horizont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99A429-3E82-4424-A45E-19CF7E5FF752}">
          <x14:formula1>
            <xm:f>Водители!$B$2:$B$29</xm:f>
          </x14:formula1>
          <xm:sqref>G5:G102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3A2B3-2254-4A1E-9C1F-1B9D2A6297CD}">
  <sheetPr codeName="Лист5"/>
  <dimension ref="A1:E31"/>
  <sheetViews>
    <sheetView workbookViewId="0">
      <selection activeCell="E83" sqref="E83"/>
    </sheetView>
  </sheetViews>
  <sheetFormatPr defaultRowHeight="15" x14ac:dyDescent="0.25"/>
  <cols>
    <col min="1" max="1" width="3.7109375" customWidth="1"/>
    <col min="2" max="2" width="38.5703125" customWidth="1"/>
    <col min="3" max="3" width="15.28515625" customWidth="1"/>
    <col min="4" max="4" width="14.7109375" customWidth="1"/>
    <col min="5" max="5" width="10.28515625" bestFit="1" customWidth="1"/>
  </cols>
  <sheetData>
    <row r="1" spans="1:5" ht="14.45" customHeight="1" x14ac:dyDescent="0.25">
      <c r="A1" s="34" t="s">
        <v>47</v>
      </c>
      <c r="B1" s="28" t="s">
        <v>48</v>
      </c>
      <c r="C1" s="28" t="s">
        <v>49</v>
      </c>
      <c r="D1" s="31" t="s">
        <v>50</v>
      </c>
      <c r="E1" s="28"/>
    </row>
    <row r="2" spans="1:5" ht="15.75" thickBot="1" x14ac:dyDescent="0.3">
      <c r="A2" s="40"/>
      <c r="B2" s="47"/>
      <c r="C2" s="43"/>
      <c r="D2" s="25"/>
      <c r="E2" s="33"/>
    </row>
    <row r="3" spans="1:5" ht="16.5" thickBot="1" x14ac:dyDescent="0.3">
      <c r="A3" s="41"/>
      <c r="B3" s="48"/>
      <c r="C3" s="17"/>
      <c r="D3" s="25"/>
      <c r="E3" s="26"/>
    </row>
    <row r="4" spans="1:5" ht="16.5" thickBot="1" x14ac:dyDescent="0.3">
      <c r="A4" s="41"/>
      <c r="B4" s="48" t="s">
        <v>8</v>
      </c>
      <c r="C4" s="17">
        <v>89323205078</v>
      </c>
      <c r="D4" s="25" t="s">
        <v>52</v>
      </c>
      <c r="E4" s="26"/>
    </row>
    <row r="5" spans="1:5" ht="16.5" thickBot="1" x14ac:dyDescent="0.3">
      <c r="A5" s="41"/>
      <c r="B5" s="48" t="s">
        <v>70</v>
      </c>
      <c r="C5" s="17">
        <v>89934121384</v>
      </c>
      <c r="D5" s="25" t="s">
        <v>52</v>
      </c>
      <c r="E5" s="26"/>
    </row>
    <row r="6" spans="1:5" ht="16.5" thickBot="1" x14ac:dyDescent="0.3">
      <c r="A6" s="41"/>
      <c r="B6" s="48" t="s">
        <v>99</v>
      </c>
      <c r="C6" s="17">
        <v>89224057935</v>
      </c>
      <c r="D6" s="25" t="s">
        <v>52</v>
      </c>
      <c r="E6" s="26"/>
    </row>
    <row r="7" spans="1:5" ht="16.5" thickBot="1" x14ac:dyDescent="0.3">
      <c r="A7" s="41"/>
      <c r="B7" s="48" t="s">
        <v>100</v>
      </c>
      <c r="C7" s="17">
        <v>89221702825</v>
      </c>
      <c r="D7" s="25" t="s">
        <v>52</v>
      </c>
      <c r="E7" s="26"/>
    </row>
    <row r="8" spans="1:5" ht="16.5" thickBot="1" x14ac:dyDescent="0.3">
      <c r="A8" s="41"/>
      <c r="B8" s="48" t="s">
        <v>155</v>
      </c>
      <c r="C8" s="17">
        <v>89224136139</v>
      </c>
      <c r="D8" s="25" t="s">
        <v>52</v>
      </c>
      <c r="E8" s="26"/>
    </row>
    <row r="9" spans="1:5" ht="16.5" thickBot="1" x14ac:dyDescent="0.3">
      <c r="A9" s="41"/>
      <c r="B9" s="48" t="s">
        <v>74</v>
      </c>
      <c r="C9" s="44">
        <v>89224813515</v>
      </c>
      <c r="D9" s="25" t="s">
        <v>52</v>
      </c>
      <c r="E9" s="27"/>
    </row>
    <row r="10" spans="1:5" ht="16.5" thickBot="1" x14ac:dyDescent="0.3">
      <c r="A10" s="41"/>
      <c r="B10" s="68" t="s">
        <v>119</v>
      </c>
      <c r="C10" s="44">
        <v>89226535314</v>
      </c>
      <c r="D10" s="25" t="s">
        <v>52</v>
      </c>
      <c r="E10" s="27"/>
    </row>
    <row r="11" spans="1:5" ht="16.5" thickBot="1" x14ac:dyDescent="0.3">
      <c r="A11" s="41"/>
      <c r="B11" s="51" t="s">
        <v>122</v>
      </c>
      <c r="C11" s="52">
        <v>89222573913</v>
      </c>
      <c r="D11" s="25" t="s">
        <v>52</v>
      </c>
      <c r="E11" s="27"/>
    </row>
    <row r="12" spans="1:5" ht="16.5" thickBot="1" x14ac:dyDescent="0.3">
      <c r="A12" s="41"/>
      <c r="B12" s="51" t="s">
        <v>77</v>
      </c>
      <c r="C12" s="53">
        <v>89225461151</v>
      </c>
      <c r="D12" s="25" t="s">
        <v>52</v>
      </c>
      <c r="E12" s="27"/>
    </row>
    <row r="13" spans="1:5" ht="16.5" thickBot="1" x14ac:dyDescent="0.3">
      <c r="A13" s="41"/>
      <c r="B13" s="48" t="s">
        <v>14</v>
      </c>
      <c r="C13" s="17">
        <v>89272514514</v>
      </c>
      <c r="D13" s="25" t="s">
        <v>52</v>
      </c>
      <c r="E13" s="27"/>
    </row>
    <row r="14" spans="1:5" ht="16.5" thickBot="1" x14ac:dyDescent="0.3">
      <c r="A14" s="41"/>
      <c r="B14" s="49" t="s">
        <v>135</v>
      </c>
      <c r="C14" s="39">
        <v>89324768700</v>
      </c>
      <c r="D14" s="25" t="s">
        <v>52</v>
      </c>
      <c r="E14" s="27"/>
    </row>
    <row r="15" spans="1:5" ht="16.5" thickBot="1" x14ac:dyDescent="0.3">
      <c r="A15" s="37"/>
      <c r="B15" s="48" t="s">
        <v>62</v>
      </c>
      <c r="C15" s="17">
        <v>89829613733</v>
      </c>
      <c r="D15" s="25" t="s">
        <v>52</v>
      </c>
      <c r="E15" s="27"/>
    </row>
    <row r="16" spans="1:5" ht="16.5" thickBot="1" x14ac:dyDescent="0.3">
      <c r="A16" s="37"/>
      <c r="B16" s="48" t="s">
        <v>124</v>
      </c>
      <c r="C16" s="17">
        <v>89324351664</v>
      </c>
      <c r="D16" s="25" t="s">
        <v>52</v>
      </c>
      <c r="E16" s="27"/>
    </row>
    <row r="17" spans="1:5" ht="16.5" thickBot="1" x14ac:dyDescent="0.3">
      <c r="A17" s="37"/>
      <c r="B17" s="48" t="s">
        <v>12</v>
      </c>
      <c r="C17" s="17">
        <v>89371625502</v>
      </c>
      <c r="D17" s="25" t="s">
        <v>52</v>
      </c>
      <c r="E17" s="27"/>
    </row>
    <row r="18" spans="1:5" ht="16.5" thickBot="1" x14ac:dyDescent="0.3">
      <c r="A18" s="37"/>
      <c r="B18" s="48" t="s">
        <v>125</v>
      </c>
      <c r="C18" s="17">
        <v>89327528044</v>
      </c>
      <c r="D18" s="25" t="s">
        <v>52</v>
      </c>
      <c r="E18" s="27"/>
    </row>
    <row r="19" spans="1:5" ht="16.5" thickBot="1" x14ac:dyDescent="0.3">
      <c r="A19" s="37"/>
      <c r="B19" s="48" t="s">
        <v>134</v>
      </c>
      <c r="C19" s="17">
        <v>89050803716</v>
      </c>
      <c r="D19" s="25" t="s">
        <v>52</v>
      </c>
      <c r="E19" s="27"/>
    </row>
    <row r="20" spans="1:5" ht="16.5" thickBot="1" x14ac:dyDescent="0.3">
      <c r="A20" s="37"/>
      <c r="B20" s="48" t="s">
        <v>127</v>
      </c>
      <c r="C20" s="17">
        <v>89111528446</v>
      </c>
      <c r="D20" s="25" t="s">
        <v>52</v>
      </c>
      <c r="E20" s="27"/>
    </row>
    <row r="21" spans="1:5" ht="16.5" thickBot="1" x14ac:dyDescent="0.3">
      <c r="A21" s="37"/>
      <c r="B21" s="48" t="s">
        <v>9</v>
      </c>
      <c r="C21" s="17">
        <v>89277358204</v>
      </c>
      <c r="D21" s="25" t="s">
        <v>52</v>
      </c>
      <c r="E21" s="27"/>
    </row>
    <row r="22" spans="1:5" ht="16.5" thickBot="1" x14ac:dyDescent="0.3">
      <c r="A22" s="41"/>
      <c r="B22" s="48" t="s">
        <v>10</v>
      </c>
      <c r="C22" s="17">
        <v>89875874363</v>
      </c>
      <c r="D22" s="31" t="s">
        <v>52</v>
      </c>
      <c r="E22" s="32"/>
    </row>
    <row r="23" spans="1:5" ht="16.5" thickBot="1" x14ac:dyDescent="0.3">
      <c r="A23" s="41"/>
      <c r="B23" s="48" t="s">
        <v>51</v>
      </c>
      <c r="C23" s="45">
        <v>89324874982</v>
      </c>
      <c r="D23" s="31" t="s">
        <v>52</v>
      </c>
      <c r="E23" s="29"/>
    </row>
    <row r="24" spans="1:5" ht="16.5" thickBot="1" x14ac:dyDescent="0.3">
      <c r="A24" s="41"/>
      <c r="B24" s="48" t="s">
        <v>131</v>
      </c>
      <c r="C24" s="69">
        <v>89324812489</v>
      </c>
      <c r="D24" s="31" t="s">
        <v>52</v>
      </c>
      <c r="E24" s="26"/>
    </row>
    <row r="25" spans="1:5" ht="16.5" thickBot="1" x14ac:dyDescent="0.3">
      <c r="A25" s="41"/>
      <c r="B25" s="49" t="s">
        <v>15</v>
      </c>
      <c r="C25" s="19">
        <v>89220900063</v>
      </c>
      <c r="D25" s="31" t="s">
        <v>52</v>
      </c>
      <c r="E25" s="30"/>
    </row>
    <row r="26" spans="1:5" ht="16.5" thickBot="1" x14ac:dyDescent="0.3">
      <c r="A26" s="41"/>
      <c r="B26" s="48" t="s">
        <v>53</v>
      </c>
      <c r="C26" s="46">
        <v>89220455787</v>
      </c>
      <c r="D26" s="31" t="s">
        <v>52</v>
      </c>
      <c r="E26" s="27"/>
    </row>
    <row r="27" spans="1:5" ht="16.5" thickBot="1" x14ac:dyDescent="0.3">
      <c r="A27" s="42"/>
      <c r="B27" s="48" t="s">
        <v>136</v>
      </c>
      <c r="C27" s="50">
        <v>89149348691</v>
      </c>
      <c r="D27" s="31" t="s">
        <v>52</v>
      </c>
      <c r="E27" s="29"/>
    </row>
    <row r="28" spans="1:5" ht="15.75" thickBot="1" x14ac:dyDescent="0.3">
      <c r="A28" s="38"/>
      <c r="B28" t="s">
        <v>156</v>
      </c>
      <c r="C28" s="22">
        <v>89220006159</v>
      </c>
      <c r="D28" s="31" t="s">
        <v>52</v>
      </c>
      <c r="E28" s="26"/>
    </row>
    <row r="29" spans="1:5" ht="16.5" thickBot="1" x14ac:dyDescent="0.3">
      <c r="A29" s="18"/>
      <c r="B29" s="21" t="s">
        <v>188</v>
      </c>
      <c r="C29" s="35">
        <v>89236830899</v>
      </c>
      <c r="D29" s="31" t="s">
        <v>52</v>
      </c>
    </row>
    <row r="30" spans="1:5" ht="16.5" thickBot="1" x14ac:dyDescent="0.3">
      <c r="A30" s="18"/>
      <c r="B30" s="21"/>
      <c r="C30" s="23"/>
      <c r="D30" s="31"/>
      <c r="E30" s="24"/>
    </row>
    <row r="31" spans="1:5" ht="15.75" x14ac:dyDescent="0.25">
      <c r="A31" s="18"/>
      <c r="B31" s="20"/>
    </row>
  </sheetData>
  <sortState xmlns:xlrd2="http://schemas.microsoft.com/office/spreadsheetml/2017/richdata2" ref="B3:D26">
    <sortCondition ref="B3:B26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A645E-98F7-47F5-B12D-46218BE483F5}">
  <sheetPr codeName="Лист6"/>
  <dimension ref="B3:B37"/>
  <sheetViews>
    <sheetView zoomScale="85" zoomScaleNormal="85" workbookViewId="0">
      <selection activeCell="G15" sqref="G15"/>
    </sheetView>
  </sheetViews>
  <sheetFormatPr defaultRowHeight="15" x14ac:dyDescent="0.25"/>
  <cols>
    <col min="2" max="2" width="65.5703125" bestFit="1" customWidth="1"/>
    <col min="3" max="4" width="29.28515625" bestFit="1" customWidth="1"/>
  </cols>
  <sheetData>
    <row r="3" spans="2:2" x14ac:dyDescent="0.25">
      <c r="B3" s="56" t="s">
        <v>88</v>
      </c>
    </row>
    <row r="4" spans="2:2" x14ac:dyDescent="0.25">
      <c r="B4" s="36" t="s">
        <v>57</v>
      </c>
    </row>
    <row r="5" spans="2:2" x14ac:dyDescent="0.25">
      <c r="B5" s="57" t="s">
        <v>8</v>
      </c>
    </row>
    <row r="6" spans="2:2" x14ac:dyDescent="0.25">
      <c r="B6" s="36" t="s">
        <v>89</v>
      </c>
    </row>
    <row r="7" spans="2:2" x14ac:dyDescent="0.25">
      <c r="B7" s="57" t="s">
        <v>58</v>
      </c>
    </row>
    <row r="8" spans="2:2" x14ac:dyDescent="0.25">
      <c r="B8" s="36" t="s">
        <v>90</v>
      </c>
    </row>
    <row r="9" spans="2:2" x14ac:dyDescent="0.25">
      <c r="B9" s="57" t="s">
        <v>61</v>
      </c>
    </row>
    <row r="10" spans="2:2" x14ac:dyDescent="0.25">
      <c r="B10" s="36" t="s">
        <v>28</v>
      </c>
    </row>
    <row r="11" spans="2:2" x14ac:dyDescent="0.25">
      <c r="B11" s="57" t="s">
        <v>18</v>
      </c>
    </row>
    <row r="12" spans="2:2" x14ac:dyDescent="0.25">
      <c r="B12" s="36" t="s">
        <v>91</v>
      </c>
    </row>
    <row r="13" spans="2:2" x14ac:dyDescent="0.25">
      <c r="B13" s="57" t="s">
        <v>70</v>
      </c>
    </row>
    <row r="14" spans="2:2" x14ac:dyDescent="0.25">
      <c r="B14" s="57" t="s">
        <v>103</v>
      </c>
    </row>
    <row r="15" spans="2:2" x14ac:dyDescent="0.25">
      <c r="B15" s="36" t="s">
        <v>26</v>
      </c>
    </row>
    <row r="16" spans="2:2" x14ac:dyDescent="0.25">
      <c r="B16" s="57" t="s">
        <v>38</v>
      </c>
    </row>
    <row r="17" spans="2:2" x14ac:dyDescent="0.25">
      <c r="B17" s="36" t="s">
        <v>23</v>
      </c>
    </row>
    <row r="18" spans="2:2" x14ac:dyDescent="0.25">
      <c r="B18" s="57" t="s">
        <v>11</v>
      </c>
    </row>
    <row r="19" spans="2:2" x14ac:dyDescent="0.25">
      <c r="B19" s="57" t="s">
        <v>15</v>
      </c>
    </row>
    <row r="20" spans="2:2" x14ac:dyDescent="0.25">
      <c r="B20" s="36" t="s">
        <v>92</v>
      </c>
    </row>
    <row r="21" spans="2:2" x14ac:dyDescent="0.25">
      <c r="B21" s="57" t="s">
        <v>36</v>
      </c>
    </row>
    <row r="22" spans="2:2" x14ac:dyDescent="0.25">
      <c r="B22" s="57" t="s">
        <v>65</v>
      </c>
    </row>
    <row r="23" spans="2:2" x14ac:dyDescent="0.25">
      <c r="B23" s="57" t="s">
        <v>10</v>
      </c>
    </row>
    <row r="24" spans="2:2" x14ac:dyDescent="0.25">
      <c r="B24" s="57" t="s">
        <v>102</v>
      </c>
    </row>
    <row r="25" spans="2:2" x14ac:dyDescent="0.25">
      <c r="B25" s="36" t="s">
        <v>93</v>
      </c>
    </row>
    <row r="26" spans="2:2" x14ac:dyDescent="0.25">
      <c r="B26" s="57" t="s">
        <v>95</v>
      </c>
    </row>
    <row r="27" spans="2:2" x14ac:dyDescent="0.25">
      <c r="B27" s="57" t="s">
        <v>13</v>
      </c>
    </row>
    <row r="28" spans="2:2" x14ac:dyDescent="0.25">
      <c r="B28" s="36" t="s">
        <v>42</v>
      </c>
    </row>
    <row r="29" spans="2:2" x14ac:dyDescent="0.25">
      <c r="B29" s="57" t="s">
        <v>75</v>
      </c>
    </row>
    <row r="30" spans="2:2" x14ac:dyDescent="0.25">
      <c r="B30" s="36" t="s">
        <v>96</v>
      </c>
    </row>
    <row r="31" spans="2:2" x14ac:dyDescent="0.25">
      <c r="B31" s="57" t="s">
        <v>73</v>
      </c>
    </row>
    <row r="32" spans="2:2" x14ac:dyDescent="0.25">
      <c r="B32" s="57" t="s">
        <v>63</v>
      </c>
    </row>
    <row r="33" spans="2:2" x14ac:dyDescent="0.25">
      <c r="B33" s="57" t="s">
        <v>64</v>
      </c>
    </row>
    <row r="34" spans="2:2" x14ac:dyDescent="0.25">
      <c r="B34" s="57" t="s">
        <v>107</v>
      </c>
    </row>
    <row r="35" spans="2:2" x14ac:dyDescent="0.25">
      <c r="B35" s="36" t="s">
        <v>30</v>
      </c>
    </row>
    <row r="36" spans="2:2" x14ac:dyDescent="0.25">
      <c r="B36" s="57" t="s">
        <v>19</v>
      </c>
    </row>
    <row r="37" spans="2:2" x14ac:dyDescent="0.25">
      <c r="B37" s="36" t="s">
        <v>94</v>
      </c>
    </row>
  </sheetData>
  <dataConsolidate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"01;8F0 "01;8F0 !B>;15F !B>;15F !B>;15F !B>;15F !B>;15F !B>;15F !B>;15F !B>;15F !B>;15F !B>;15F !B>;15F !B>;15F !B>;15F !B>;15F !B>;15F !B>;15F !B>;15F !B>;15F "01;8F0 "01;8F0 !C<<0  ?>  AB>;1FC  >;8G5AB2> !C<<0  ?>  AB>;1FC  >;8G5AB2> $>@<C;0 !C<<0  ?>  AB>;1FC  >;8G5AB2> =0G5=85 !B>;15F >;8G5AB2> !C<<0  ?>  AB>;1FC  >;8G5AB2> >;8G5AB2> !C<<0  ?>  AB>;1FC  >;8G5AB2> >;8G5AB2> !C<<0  ?>  AB>;1FC  >;8G5AB2> >;8G5AB2> !C<<0  ?>  AB>;1FC  >;8G5AB2> !C<<0  ?>  AB>;1FC  >;8G5AB2> $>@<C;0 !C<<0  ?>  AB>;1FC  >;8G5AB2> =0G5=85 !B>;15F >;8G5AB2> !C<<0  ?>  AB>;1FC  >;8G5AB2> >;8G5AB2> !C<<0  ?>  AB>;1FC  >;8G5AB2> >;8G5AB2> !C<<0  ?>  AB>;1FC  >;8G5AB2> >;8G5AB2> 5@A>=0; 5@A>=0; >;6=>ABL >;8G5AB2> >;6=>ABL >;8G5AB2> 
</file>

<file path=customXml/item2.xml>�� 
</file>

<file path=customXml/item3.xml>�� "01;8F0 !B>;15F !B>;15F !B>;15F !B>;15F !B>;15F !B>;15F !B>;15F !B>;15F !B>;15F !B>;15F !B>;15F !B>;15F !B>;15F !B>;15F !B>;15F !B>;15F !B>;15F !B>;15F 
</file>

<file path=customXml/item4.xml>�� "01;8F0 "01;8F0 !B>;15F >;8G5AB2> "01;8F0 "01;8F0 !B>;15F !B>;15F !B>;15F !B>;15F !B>;15F !B>;15F !B>;15F !B>;15F !B>;15F 5@A>=0; 5@A>=0; >;6=>ABL >;8G5AB2>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5@A>=0; >;6=>ABL >;8G5AB2> >;6=>ABL >;8G5AB2> >;6=>ABL >;6=>ABL >;6=>ABL 
</file>

<file path=customXml/item12.xml>�� "01;8F02 , 5@A>=0;, "01;8F0 
</file>

<file path=customXml/item13.xml>�� 
</file>

<file path=customXml/item14.xml>�� "01;8F0 5@A>=0; "01;8F0 
</file>

<file path=customXml/item15.xml>�� "01;8F0 !B>;15F >;8G5AB2> !B>;15F >;8G5AB2> 
</file>

<file path=customXml/item16.xml>�� 
</file>

<file path=customXml/item17.xml>�� 
</file>

<file path=customXml/item18.xml>�� 5@A>=0; 
</file>

<file path=customXml/item19.xml>�� 
</file>

<file path=customXml/itemProps1.xml><?xml version="1.0" encoding="utf-8"?>
<ds:datastoreItem xmlns:ds="http://schemas.openxmlformats.org/officeDocument/2006/customXml" ds:itemID="{44F2C3DC-25AD-48CB-8AE9-C82F1D5F6410}">
  <ds:schemaRefs/>
</ds:datastoreItem>
</file>

<file path=customXml/itemProps2.xml><?xml version="1.0" encoding="utf-8"?>
<ds:datastoreItem xmlns:ds="http://schemas.openxmlformats.org/officeDocument/2006/customXml" ds:itemID="{C53897A9-749F-4868-B8BB-E291D67032BC}">
  <ds:schemaRefs/>
</ds:datastoreItem>
</file>

<file path=customXml/itemProps3.xml><?xml version="1.0" encoding="utf-8"?>
<ds:datastoreItem xmlns:ds="http://schemas.openxmlformats.org/officeDocument/2006/customXml" ds:itemID="{CABA8CE2-7547-4C75-83EE-E15CE9E5FECD}">
  <ds:schemaRefs/>
</ds:datastoreItem>
</file>

<file path=customXml/itemProps4.xml><?xml version="1.0" encoding="utf-8"?>
<ds:datastoreItem xmlns:ds="http://schemas.openxmlformats.org/officeDocument/2006/customXml" ds:itemID="{48ED0B7B-CDDE-40B0-9B9B-9C57DB2ACF78}">
  <ds:schemaRefs/>
</ds:datastoreItem>
</file>

<file path=customXml/itemProps5.xml><?xml version="1.0" encoding="utf-8"?>
<ds:datastoreItem xmlns:ds="http://schemas.openxmlformats.org/officeDocument/2006/customXml" ds:itemID="{AC7CBDA0-BA49-48D0-86BD-1EC310A5F6B1}">
  <ds:schemaRefs/>
</ds:datastoreItem>
</file>

<file path=customXml/itemProps6.xml><?xml version="1.0" encoding="utf-8"?>
<ds:datastoreItem xmlns:ds="http://schemas.openxmlformats.org/officeDocument/2006/customXml" ds:itemID="{FD2AFD78-CC58-48DF-B43F-B0A1E09CB161}">
  <ds:schemaRefs/>
</ds:datastoreItem>
</file>

<file path=customXml/itemProps7.xml><?xml version="1.0" encoding="utf-8"?>
<ds:datastoreItem xmlns:ds="http://schemas.openxmlformats.org/officeDocument/2006/customXml" ds:itemID="{05D9C387-933E-43B3-9CB5-1885ED7BC572}">
  <ds:schemaRefs/>
</ds:datastoreItem>
</file>

<file path=customXml/itemProps8.xml><?xml version="1.0" encoding="utf-8"?>
<ds:datastoreItem xmlns:ds="http://schemas.openxmlformats.org/officeDocument/2006/customXml" ds:itemID="{5F0A5ADB-6D6E-448E-A7CE-F1EEBA18F31A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FE8BEDBC-EE98-4557-8CC2-33250F488C6E}">
  <ds:schemaRefs/>
</ds:datastoreItem>
</file>

<file path=customXml/itemProps10.xml><?xml version="1.0" encoding="utf-8"?>
<ds:datastoreItem xmlns:ds="http://schemas.openxmlformats.org/officeDocument/2006/customXml" ds:itemID="{B6BFC307-B168-424F-B68B-2A8714842ADD}">
  <ds:schemaRefs/>
</ds:datastoreItem>
</file>

<file path=customXml/itemProps11.xml><?xml version="1.0" encoding="utf-8"?>
<ds:datastoreItem xmlns:ds="http://schemas.openxmlformats.org/officeDocument/2006/customXml" ds:itemID="{5681FECA-797F-4303-A4B5-700971C24D53}">
  <ds:schemaRefs/>
</ds:datastoreItem>
</file>

<file path=customXml/itemProps12.xml><?xml version="1.0" encoding="utf-8"?>
<ds:datastoreItem xmlns:ds="http://schemas.openxmlformats.org/officeDocument/2006/customXml" ds:itemID="{3B865C24-8B5A-4C53-97CF-ADF2CBE08EAB}">
  <ds:schemaRefs/>
</ds:datastoreItem>
</file>

<file path=customXml/itemProps13.xml><?xml version="1.0" encoding="utf-8"?>
<ds:datastoreItem xmlns:ds="http://schemas.openxmlformats.org/officeDocument/2006/customXml" ds:itemID="{D04A484E-DEB8-4827-B1D0-ABA07BA094BB}">
  <ds:schemaRefs/>
</ds:datastoreItem>
</file>

<file path=customXml/itemProps14.xml><?xml version="1.0" encoding="utf-8"?>
<ds:datastoreItem xmlns:ds="http://schemas.openxmlformats.org/officeDocument/2006/customXml" ds:itemID="{047C08B7-F4C4-4184-80CC-5EB10E78B7B6}">
  <ds:schemaRefs/>
</ds:datastoreItem>
</file>

<file path=customXml/itemProps15.xml><?xml version="1.0" encoding="utf-8"?>
<ds:datastoreItem xmlns:ds="http://schemas.openxmlformats.org/officeDocument/2006/customXml" ds:itemID="{44B28BF0-A808-4AEF-9CA9-5171EAD9A188}">
  <ds:schemaRefs/>
</ds:datastoreItem>
</file>

<file path=customXml/itemProps16.xml><?xml version="1.0" encoding="utf-8"?>
<ds:datastoreItem xmlns:ds="http://schemas.openxmlformats.org/officeDocument/2006/customXml" ds:itemID="{2B9FEAD5-A3F2-47F6-8E8B-4DC1C0C47D1B}">
  <ds:schemaRefs/>
</ds:datastoreItem>
</file>

<file path=customXml/itemProps17.xml><?xml version="1.0" encoding="utf-8"?>
<ds:datastoreItem xmlns:ds="http://schemas.openxmlformats.org/officeDocument/2006/customXml" ds:itemID="{B36F94B7-B584-4236-BE84-75069077BC99}">
  <ds:schemaRefs/>
</ds:datastoreItem>
</file>

<file path=customXml/itemProps18.xml><?xml version="1.0" encoding="utf-8"?>
<ds:datastoreItem xmlns:ds="http://schemas.openxmlformats.org/officeDocument/2006/customXml" ds:itemID="{96CF083D-5278-42BE-9B07-B3EB2D673EA3}">
  <ds:schemaRefs/>
</ds:datastoreItem>
</file>

<file path=customXml/itemProps19.xml><?xml version="1.0" encoding="utf-8"?>
<ds:datastoreItem xmlns:ds="http://schemas.openxmlformats.org/officeDocument/2006/customXml" ds:itemID="{5725792D-1F73-4238-A2BC-FD1583AF547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Отчет расстановка</vt:lpstr>
      <vt:lpstr>Персонал Свод</vt:lpstr>
      <vt:lpstr>Список ФИО</vt:lpstr>
      <vt:lpstr>Рабочая исходник</vt:lpstr>
      <vt:lpstr>Водители</vt:lpstr>
      <vt:lpstr>Лист1</vt:lpstr>
      <vt:lpstr>'Отчет расстановка'!Область_печати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2026-06-01T06:04:43Z</dcterms:modified>
</cp:coreProperties>
</file>